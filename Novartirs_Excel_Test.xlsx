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delina/Downloads/final_project/"/>
    </mc:Choice>
  </mc:AlternateContent>
  <xr:revisionPtr revIDLastSave="0" documentId="8_{DF9092C3-A654-564A-830C-21675C605F4D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2" l="1"/>
  <c r="C27" i="2" s="1"/>
  <c r="D25" i="2" a="1"/>
  <c r="D25" i="2" s="1"/>
  <c r="F25" i="2" s="1"/>
  <c r="C26" i="2" s="1"/>
  <c r="B26" i="2" s="1"/>
  <c r="D24" i="2" a="1"/>
  <c r="D24" i="2" s="1"/>
  <c r="F24" i="2" s="1"/>
  <c r="C25" i="2" s="1"/>
  <c r="B25" i="2" s="1"/>
  <c r="D23" i="2" a="1"/>
  <c r="D23" i="2" s="1"/>
  <c r="F23" i="2" s="1"/>
  <c r="C24" i="2" s="1"/>
  <c r="B24" i="2" s="1"/>
  <c r="D22" i="2"/>
  <c r="F22" i="2" s="1"/>
  <c r="C23" i="2" s="1"/>
  <c r="B23" i="2" s="1"/>
  <c r="D27" i="2"/>
  <c r="D21" i="2" a="1"/>
  <c r="D21" i="2" s="1"/>
  <c r="F21" i="2" s="1"/>
  <c r="C22" i="2" s="1"/>
  <c r="B22" i="2" s="1"/>
  <c r="D20" i="2" a="1"/>
  <c r="D20" i="2" s="1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 s="1"/>
  <c r="C4" i="2" s="1"/>
  <c r="B4" i="2" s="1"/>
  <c r="H380" i="1"/>
  <c r="H388" i="1" a="1"/>
  <c r="H388" i="1" s="1"/>
  <c r="A3" i="4" a="1"/>
  <c r="A3" i="4" s="1"/>
  <c r="A2" i="4"/>
  <c r="A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<sst xmlns="http://schemas.openxmlformats.org/spreadsheetml/2006/main" count="636" uniqueCount="18">
  <si>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</si>
  <si>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</si>
  <si>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</si>
  <si>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</si>
  <si>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</si>
  <si>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</si>
  <si>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</si>
  <si>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</si>
  <si>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</si>
  <si>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</si>
  <si>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</si>
  <si>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</si>
  <si>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</si>
  <si>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</si>
  <si>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</si>
  <si>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</si>
  <si>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</si>
  <si>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 городской, 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</si>
</sst>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7" zoomScale="85" zoomScaleNormal="85" workbookViewId="0">
      <selection activeCell="D27" sqref="D27"/>
    </sheetView>
  </sheetViews>
  <sheetFormatPr baseColWidth="10" defaultColWidth="9.1640625" defaultRowHeight="15" x14ac:dyDescent="0.2"/>
  <cols>
    <col min="1" max="1" width="2.33203125" style="5" customWidth="1"/>
    <col min="2" max="2" width="12.5" style="9" customWidth="1"/>
    <col min="3" max="3" width="63.6640625" style="8" customWidth="1"/>
    <col min="4" max="4" width="21.1640625" style="4" customWidth="1"/>
    <col min="5" max="5" width="1.6640625" style="7" customWidth="1"/>
    <col min="6" max="6" width="20.5" style="9" customWidth="1"/>
    <col min="7" max="7" width="16.5" style="8" customWidth="1"/>
    <col min="8" max="13" width="15.6640625" style="8" customWidth="1"/>
    <col min="14" max="14" width="16.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640625" style="10"/>
  </cols>
  <sheetData>
    <row r="2" spans="1:16" x14ac:dyDescent="0.2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2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2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2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COUNTA('База данных'!A2:A624)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2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2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2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2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2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данных'!D2:D624)/(SUM('База данных'!E2:E624)/60),2)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2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2">
        <f>ROUND(SUM('База данных'!E2:E624)/COUNTA('База данных'!A2:A624),0)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2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данных'!C2:C624,"На городской",'База данных'!B2:B624,5)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2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данных'!B2:B624,1,'База данных'!C2:C624,"На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2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данных'!E2:E624)/SUM('База данных'!E2:E624),4)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2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данных'!B2:B624,1,'База данных'!D2:D624)/SUM('База данных'!D2:D624),4)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2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COUNTA(_xlfn.UNIQUE('База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2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данных'!A2:A624,'База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2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SUMPRODUCT(IFERROR(('База данных'!B2:B624=6)/COUNTIFS('База данных'!A2:A624,'База данных'!A2:A624,'База данных'!B2:B624,6),0))</f>
        <v>63.000000000000028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2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ROUND(SUMPRODUCT(IFERROR(('База данных'!B2:B624=2)/COUNTIFS('База данных'!A2:A624,'База данных'!A2:A624,'База данных'!B2:B624,2),0))/SUMPRODUCT(1/COUNTIF('База данных'!A2:A624,'База данных'!A2:A624)),4)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2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 cm="1">
        <f t="array" ref="D20">ROUND(SUM('База данных'!D2:D624)/SUMPRODUCT(1/COUNTIF('База данных'!A2:A624,'База данных'!A2:A624)),2)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2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 cm="1">
        <f t="array" ref="D21">ROUND((SUM('База данных'!E2:E624)/60)/SUMPRODUCT(1/COUNTIF('База данных'!A2:A624,'База данных'!A2:A624)),1)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2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7">
        <f>SUMIF('База данных'!B:B, VLOOKUP(77010000055, 'База данных'!A:B, 2, 0), 'База данных'!E:E)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2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 cm="1">
        <f t="array" ref="D23">INDEX(_xlfn.UNIQUE('База данных'!A2:A624),MATCH(MAX(SUMIF('База данных'!A2:A624,_xlfn.UNIQUE('База данных'!A2:A624),'База данных'!D2:D624)),SUMIF('База данных'!A2:A624,_xlfn.UNIQUE('База данных'!A2:A624),'База данных'!D2:D624),0))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2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INDEX(_xlfn.UNIQUE(_xlfn._xlws.FILTER('База данных'!A2:A624,'База данных'!B2:B624=5)),MATCH(MAX(SUMIFS('База данных'!E2:E624,'База данных'!A2:A624,_xlfn.UNIQUE(_xlfn._xlws.FILTER('База данных'!A2:A624,'База данных'!B2:B624=5)),'База данных'!B2:B624,5)),SUMIFS('База данных'!E2:E624,'База данных'!A2:A624,_xlfn.UNIQUE(_xlfn._xlws.FILTER('База данных'!A2:A624,'База данных'!B2:B624=5)),'База данных'!B2:B624,5),0))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2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INDEX(_xlfn.UNIQUE('База данных'!A2:A624),MATCH(LARGE(SUMIF('База данных'!A2:A624,_xlfn.UNIQUE('База данных'!A2:A624),'База данных'!D2:D624),7),SUMIF('База данных'!A2:A624,_xlfn.UNIQUE('База данных'!A2:A624),'База данных'!D2:D624),0))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2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17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2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zoomScale="85" zoomScaleNormal="85" workbookViewId="0"/>
  </sheetViews>
  <sheetFormatPr baseColWidth="10" defaultColWidth="8.83203125" defaultRowHeight="15" x14ac:dyDescent="0.2"/>
  <cols>
    <col min="1" max="1" width="20.5" style="26" customWidth="1"/>
    <col min="2" max="2" width="16.6640625" style="26" customWidth="1"/>
    <col min="3" max="3" width="32.5" style="26" customWidth="1"/>
    <col min="4" max="4" width="18.33203125" style="26" customWidth="1"/>
    <col min="5" max="5" width="24" style="35" customWidth="1"/>
  </cols>
  <sheetData>
    <row r="1" spans="1:5" s="1" customFormat="1" ht="32" x14ac:dyDescent="0.2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2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2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2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2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2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2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2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2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2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2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2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2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2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2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2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2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2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2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2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2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2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2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2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2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2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2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2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2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2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2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2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2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2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2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2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2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2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2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2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2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2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2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2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2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2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2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2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2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2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2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2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2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2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2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2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2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2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2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2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2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2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2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2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2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2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2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2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2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2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2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2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2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2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2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2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2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2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2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2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2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2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2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2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2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2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2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2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2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2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2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2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2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2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2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2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2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2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2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2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2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2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2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2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2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2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2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2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2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2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2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2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2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2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2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2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2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2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2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2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2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2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2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2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2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2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2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2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2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2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2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2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2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2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2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2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2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2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2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2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2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2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2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2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2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2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2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2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2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2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2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2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2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2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2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2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2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2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2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2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2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2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2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2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2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2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2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2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2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2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2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2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2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2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2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2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2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2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2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2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2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2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2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2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2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2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2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2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2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2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2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2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2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2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2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2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2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2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2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2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2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2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2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2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2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2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2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2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2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2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2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2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2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2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2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2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2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2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2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2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2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2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2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2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2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2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2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2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2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2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2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2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2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2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2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2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2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2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2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2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2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2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2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2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2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2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2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2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2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2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2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2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2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2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2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2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2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2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2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2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2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2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2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2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2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2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2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2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2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2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2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2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2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2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2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2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2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2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2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2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2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2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2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2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2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2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2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2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2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2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2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2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2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2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2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2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2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2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2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2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2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2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2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2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2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2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2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2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2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2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2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2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2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2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2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2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2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2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2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2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2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2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2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2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2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2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2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2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2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2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2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2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2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2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2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2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2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2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2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2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2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2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2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2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2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2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2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2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2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2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2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2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2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2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2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2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2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2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2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2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2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2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2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2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2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2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2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2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2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2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2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2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2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2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2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2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2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2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2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2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2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2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2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2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2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2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2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2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2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2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2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2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2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2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2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2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2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2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2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2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2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2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2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2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2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2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2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2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2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2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2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2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2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2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2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2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2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2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2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2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2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2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2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2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2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2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2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2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2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2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2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2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2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2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2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2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2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2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2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2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2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2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2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2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2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2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2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2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2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2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2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2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2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2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2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2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2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2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2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2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2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2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2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2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2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2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2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2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2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2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2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2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2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2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2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2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2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2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2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2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2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2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2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2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2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2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2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2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2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2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2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2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2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2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2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2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2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2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2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2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2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2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2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2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2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2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2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2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2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2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2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2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2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2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2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2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2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2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2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2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2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2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2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2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2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2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2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2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2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2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2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2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2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2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2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2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2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2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2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2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2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2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2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2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2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2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2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2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2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2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2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2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2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2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2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2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2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2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2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2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2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2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2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2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2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2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2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2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2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2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2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2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2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2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2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2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2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2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2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2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2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2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2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2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2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2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2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2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2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2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2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2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2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2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2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2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2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2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2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2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2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2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2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2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2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2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2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2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2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2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2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2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2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2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2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2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2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2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2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2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2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2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2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2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9.33203125" bestFit="1" customWidth="1"/>
  </cols>
  <sheetData>
    <row r="1" spans="1:1" x14ac:dyDescent="0.2">
      <c r="A1">
        <f>VLOOKUP(77010000055,'База данных'!A:B,2,FALSE)</f>
        <v>1</v>
      </c>
    </row>
    <row r="2" spans="1:1" x14ac:dyDescent="0.2">
      <c r="A2">
        <f>SUMIF('База данных'!B:B,"1",'База данных'!E:E)</f>
        <v>2705</v>
      </c>
    </row>
    <row r="3" spans="1:1" x14ac:dyDescent="0.2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Аделаида Лукьянченко</cp:lastModifiedBy>
  <dcterms:created xsi:type="dcterms:W3CDTF">2010-08-09T12:20:19Z</dcterms:created>
  <dcterms:modified xsi:type="dcterms:W3CDTF">2026-09-05T09:49:49Z</dcterms:modified>
</cp:coreProperties>
</file>