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lina/Downloads/final_project/"/>
    </mc:Choice>
  </mc:AlternateContent>
  <xr:revisionPtr revIDLastSave="0" documentId="8_{AF0953CD-B90B-AE4D-A90A-B6191F2FC182}" xr6:coauthVersionLast="47" xr6:coauthVersionMax="47" xr10:uidLastSave="{00000000-0000-0000-0000-000000000000}"/>
  <bookViews>
    <workbookView xWindow="0" yWindow="0" windowWidth="28800" windowHeight="16840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<sst xmlns="http://schemas.openxmlformats.org/spreadsheetml/2006/main" count="1122" uniqueCount="33">
  <si>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</si>
  <si>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</si>
  <si>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</si>
  <si>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</si>
  <si>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</si>
  <si>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</si>
  <si>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</si>
  <si>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</si>
  <si>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</si>
  <si>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</si>
  <si>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</si>
  <si>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</si>
  <si>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</si>
  <si>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</si>
  <si>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</si>
  <si>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</si>
  <si>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</si>
  <si>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</si>
  <si>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</si>
  <si>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</si>
  <si>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</si>
  <si>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</si>
  <si>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</si>
  <si>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</si>
  <si>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</si>
  <si>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</si>
  <si>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</si>
  <si>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</si>
  <si>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</si>
  <si>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</si>
  <si>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Товарооборот, шт</t>
  </si>
  <si>
    <t>Доля товарооборота, %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</si>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</sst>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164" fontId="0" fillId="0" borderId="0" xfId="0" applyNumberFormat="1"/>
    <xf numFmtId="0" fontId="1" fillId="2" borderId="3" xfId="0" applyNumberFormat="1" applyFont="1" applyFill="1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Аналитик. готово.xlsx]Лист4!Сводная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    Понедельная динамика товарооборота на склад</a:t>
            </a:r>
            <a:endParaRPr lang="ru-RU">
              <a:effectLst/>
            </a:endParaRPr>
          </a:p>
        </c:rich>
      </c:tx>
      <c:layout>
        <c:manualLayout>
          <c:xMode val="edge"/>
          <c:yMode val="edge"/>
          <c:x val="0.1142985564304461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Лист4!$A$4:$A$10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Лист4!$B$4:$B$10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9-A64D-B4EC-4ADFD675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661168"/>
        <c:axId val="534117744"/>
      </c:lineChart>
      <c:catAx>
        <c:axId val="53466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4117744"/>
        <c:crosses val="autoZero"/>
        <c:auto val="1"/>
        <c:lblAlgn val="ctr"/>
        <c:lblOffset val="100"/>
        <c:noMultiLvlLbl val="0"/>
      </c:catAx>
      <c:valAx>
        <c:axId val="5341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466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</xdr:row>
      <xdr:rowOff>114300</xdr:rowOff>
    </xdr:from>
    <xdr:to>
      <xdr:col>7</xdr:col>
      <xdr:colOff>38100</xdr:colOff>
      <xdr:row>17</xdr:row>
      <xdr:rowOff>139700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F0230A-5F30-FAE0-D3B3-DE6EA08EE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9.764111111108" createdVersion="8" refreshedVersion="8" minRefreshableVersion="3" recordCount="504" xr:uid="{9D295BC9-B0A4-BD46-B391-50F988F2674C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x v="0"/>
    <n v="623971.5"/>
    <n v="15"/>
    <n v="441"/>
    <n v="368"/>
    <n v="41598.1"/>
    <x v="0"/>
  </r>
  <r>
    <d v="2020-05-30T00:00:00"/>
    <x v="0"/>
    <x v="1"/>
    <n v="787101"/>
    <n v="15"/>
    <n v="490"/>
    <n v="409"/>
    <n v="52473.4"/>
    <x v="0"/>
  </r>
  <r>
    <d v="2020-05-28T00:00:00"/>
    <x v="0"/>
    <x v="2"/>
    <n v="643944"/>
    <n v="15"/>
    <n v="464"/>
    <n v="390"/>
    <n v="42929.599999999999"/>
    <x v="0"/>
  </r>
  <r>
    <d v="2020-05-16T00:00:00"/>
    <x v="1"/>
    <x v="3"/>
    <n v="3395892"/>
    <n v="21"/>
    <n v="2145"/>
    <n v="1947"/>
    <n v="161709.14285714287"/>
    <x v="1"/>
  </r>
  <r>
    <d v="2020-05-19T00:00:00"/>
    <x v="1"/>
    <x v="4"/>
    <n v="2771116.5"/>
    <n v="21"/>
    <n v="1860"/>
    <n v="1704"/>
    <n v="131957.92857142858"/>
    <x v="2"/>
  </r>
  <r>
    <d v="2020-05-17T00:00:00"/>
    <x v="1"/>
    <x v="5"/>
    <n v="2882458.5"/>
    <n v="21"/>
    <n v="1874"/>
    <n v="1705"/>
    <n v="137259.92857142858"/>
    <x v="1"/>
  </r>
  <r>
    <d v="2020-05-09T00:00:00"/>
    <x v="1"/>
    <x v="6"/>
    <n v="2831019"/>
    <n v="21"/>
    <n v="1735"/>
    <n v="1568"/>
    <n v="134810.42857142858"/>
    <x v="3"/>
  </r>
  <r>
    <d v="2020-05-04T00:00:00"/>
    <x v="1"/>
    <x v="7"/>
    <n v="2372310"/>
    <n v="20"/>
    <n v="1519"/>
    <n v="1372"/>
    <n v="118615.5"/>
    <x v="3"/>
  </r>
  <r>
    <d v="2020-04-29T00:00:00"/>
    <x v="1"/>
    <x v="8"/>
    <n v="2623480.5"/>
    <n v="18"/>
    <n v="1684"/>
    <n v="1528"/>
    <n v="145748.91666666666"/>
    <x v="4"/>
  </r>
  <r>
    <d v="2020-05-02T00:00:00"/>
    <x v="1"/>
    <x v="9"/>
    <n v="2711247"/>
    <n v="18"/>
    <n v="1708"/>
    <n v="1534"/>
    <n v="150624.83333333334"/>
    <x v="4"/>
  </r>
  <r>
    <d v="2020-05-26T00:00:00"/>
    <x v="1"/>
    <x v="10"/>
    <n v="2970330"/>
    <n v="20"/>
    <n v="2044"/>
    <n v="1863"/>
    <n v="148516.5"/>
    <x v="0"/>
  </r>
  <r>
    <d v="2020-05-01T00:00:00"/>
    <x v="1"/>
    <x v="11"/>
    <n v="3031254"/>
    <n v="18"/>
    <n v="1826"/>
    <n v="1633"/>
    <n v="168403"/>
    <x v="4"/>
  </r>
  <r>
    <d v="2020-05-12T00:00:00"/>
    <x v="1"/>
    <x v="12"/>
    <n v="2595778.5"/>
    <n v="21"/>
    <n v="1656"/>
    <n v="1516"/>
    <n v="123608.5"/>
    <x v="1"/>
  </r>
  <r>
    <d v="2020-05-21T00:00:00"/>
    <x v="1"/>
    <x v="13"/>
    <n v="2744382"/>
    <n v="21"/>
    <n v="1787"/>
    <n v="1626"/>
    <n v="130684.85714285714"/>
    <x v="2"/>
  </r>
  <r>
    <d v="2020-05-20T00:00:00"/>
    <x v="1"/>
    <x v="14"/>
    <n v="2929330.5"/>
    <n v="21"/>
    <n v="1921"/>
    <n v="1767"/>
    <n v="139491.92857142858"/>
    <x v="2"/>
  </r>
  <r>
    <d v="2020-05-05T00:00:00"/>
    <x v="1"/>
    <x v="15"/>
    <n v="2906763"/>
    <n v="20"/>
    <n v="1773"/>
    <n v="1604"/>
    <n v="145338.15"/>
    <x v="3"/>
  </r>
  <r>
    <d v="2020-04-28T00:00:00"/>
    <x v="1"/>
    <x v="16"/>
    <n v="2411587.5"/>
    <n v="18"/>
    <n v="1539"/>
    <n v="1404"/>
    <n v="133977.08333333334"/>
    <x v="4"/>
  </r>
  <r>
    <d v="2020-05-13T00:00:00"/>
    <x v="1"/>
    <x v="17"/>
    <n v="2629782"/>
    <n v="21"/>
    <n v="1698"/>
    <n v="1554"/>
    <n v="125227.71428571429"/>
    <x v="1"/>
  </r>
  <r>
    <d v="2020-05-03T00:00:00"/>
    <x v="1"/>
    <x v="18"/>
    <n v="2434914"/>
    <n v="20"/>
    <n v="1520"/>
    <n v="1373"/>
    <n v="121745.7"/>
    <x v="4"/>
  </r>
  <r>
    <d v="2020-05-06T00:00:00"/>
    <x v="1"/>
    <x v="19"/>
    <n v="2938623"/>
    <n v="20"/>
    <n v="1784"/>
    <n v="1632"/>
    <n v="146931.15"/>
    <x v="3"/>
  </r>
  <r>
    <d v="2020-05-23T00:00:00"/>
    <x v="1"/>
    <x v="20"/>
    <n v="3628726.5"/>
    <n v="21"/>
    <n v="2340"/>
    <n v="2146"/>
    <n v="172796.5"/>
    <x v="2"/>
  </r>
  <r>
    <d v="2020-05-25T00:00:00"/>
    <x v="1"/>
    <x v="21"/>
    <n v="3176580"/>
    <n v="20"/>
    <n v="2087"/>
    <n v="1914"/>
    <n v="158829"/>
    <x v="0"/>
  </r>
  <r>
    <d v="2020-04-30T00:00:00"/>
    <x v="1"/>
    <x v="22"/>
    <n v="2817196.5"/>
    <n v="19"/>
    <n v="1712"/>
    <n v="1552"/>
    <n v="148273.5"/>
    <x v="4"/>
  </r>
  <r>
    <d v="2020-05-10T00:00:00"/>
    <x v="1"/>
    <x v="23"/>
    <n v="3312967.5"/>
    <n v="21"/>
    <n v="2016"/>
    <n v="1846"/>
    <n v="157760.35714285713"/>
    <x v="3"/>
  </r>
  <r>
    <d v="2020-05-08T00:00:00"/>
    <x v="1"/>
    <x v="24"/>
    <n v="2645160"/>
    <n v="21"/>
    <n v="1646"/>
    <n v="1492"/>
    <n v="125960"/>
    <x v="3"/>
  </r>
  <r>
    <d v="2020-05-07T00:00:00"/>
    <x v="1"/>
    <x v="25"/>
    <n v="2472213"/>
    <n v="21"/>
    <n v="1542"/>
    <n v="1405"/>
    <n v="117724.42857142857"/>
    <x v="3"/>
  </r>
  <r>
    <d v="2020-05-24T00:00:00"/>
    <x v="1"/>
    <x v="26"/>
    <n v="2924746.5"/>
    <n v="20"/>
    <n v="1999"/>
    <n v="1829"/>
    <n v="146237.32500000001"/>
    <x v="2"/>
  </r>
  <r>
    <d v="2020-05-31T00:00:00"/>
    <x v="1"/>
    <x v="27"/>
    <n v="3473895"/>
    <n v="21"/>
    <n v="2271"/>
    <n v="2085"/>
    <n v="165423.57142857142"/>
    <x v="0"/>
  </r>
  <r>
    <d v="2020-05-30T00:00:00"/>
    <x v="1"/>
    <x v="28"/>
    <n v="3921784.5"/>
    <n v="20"/>
    <n v="2597"/>
    <n v="2376"/>
    <n v="196089.22500000001"/>
    <x v="0"/>
  </r>
  <r>
    <d v="2020-05-28T00:00:00"/>
    <x v="1"/>
    <x v="29"/>
    <n v="2827773"/>
    <n v="20"/>
    <n v="1886"/>
    <n v="1736"/>
    <n v="141388.65"/>
    <x v="0"/>
  </r>
  <r>
    <d v="2020-05-16T00:00:00"/>
    <x v="2"/>
    <x v="30"/>
    <n v="7583758.5"/>
    <n v="31"/>
    <n v="5593"/>
    <n v="5177"/>
    <n v="244637.37096774194"/>
    <x v="1"/>
  </r>
  <r>
    <d v="2020-05-19T00:00:00"/>
    <x v="2"/>
    <x v="31"/>
    <n v="6815511"/>
    <n v="31"/>
    <n v="5389"/>
    <n v="5024"/>
    <n v="219855.19354838709"/>
    <x v="2"/>
  </r>
  <r>
    <d v="2020-05-17T00:00:00"/>
    <x v="2"/>
    <x v="32"/>
    <n v="6774946.5"/>
    <n v="31"/>
    <n v="5206"/>
    <n v="4843"/>
    <n v="218546.66129032258"/>
    <x v="1"/>
  </r>
  <r>
    <d v="2020-05-09T00:00:00"/>
    <x v="2"/>
    <x v="33"/>
    <n v="6264933"/>
    <n v="31"/>
    <n v="4556"/>
    <n v="4220"/>
    <n v="202094.61290322582"/>
    <x v="3"/>
  </r>
  <r>
    <d v="2020-05-04T00:00:00"/>
    <x v="2"/>
    <x v="34"/>
    <n v="6642249"/>
    <n v="31"/>
    <n v="4968"/>
    <n v="4596"/>
    <n v="214266.09677419355"/>
    <x v="3"/>
  </r>
  <r>
    <d v="2020-04-29T00:00:00"/>
    <x v="2"/>
    <x v="35"/>
    <n v="7180498.5"/>
    <n v="31"/>
    <n v="5378"/>
    <n v="4985"/>
    <n v="231628.98387096773"/>
    <x v="4"/>
  </r>
  <r>
    <d v="2020-05-02T00:00:00"/>
    <x v="2"/>
    <x v="36"/>
    <n v="5554192.5"/>
    <n v="31"/>
    <n v="4157"/>
    <n v="3823"/>
    <n v="179167.5"/>
    <x v="4"/>
  </r>
  <r>
    <d v="2020-05-26T00:00:00"/>
    <x v="2"/>
    <x v="37"/>
    <n v="6676459.5"/>
    <n v="31"/>
    <n v="5493"/>
    <n v="5119"/>
    <n v="215369.66129032258"/>
    <x v="0"/>
  </r>
  <r>
    <d v="2020-05-01T00:00:00"/>
    <x v="2"/>
    <x v="38"/>
    <n v="8893024.5"/>
    <n v="31"/>
    <n v="6118"/>
    <n v="5564"/>
    <n v="286871.75806451612"/>
    <x v="4"/>
  </r>
  <r>
    <d v="2020-05-12T00:00:00"/>
    <x v="2"/>
    <x v="39"/>
    <n v="6398361"/>
    <n v="31"/>
    <n v="4800"/>
    <n v="4470"/>
    <n v="206398.74193548388"/>
    <x v="1"/>
  </r>
  <r>
    <d v="2020-05-21T00:00:00"/>
    <x v="2"/>
    <x v="40"/>
    <n v="6633847.5"/>
    <n v="31"/>
    <n v="5207"/>
    <n v="4868"/>
    <n v="213995.0806451613"/>
    <x v="2"/>
  </r>
  <r>
    <d v="2020-05-20T00:00:00"/>
    <x v="2"/>
    <x v="41"/>
    <n v="7247575.5"/>
    <n v="31"/>
    <n v="5698"/>
    <n v="5258"/>
    <n v="233792.75806451612"/>
    <x v="2"/>
  </r>
  <r>
    <d v="2020-05-05T00:00:00"/>
    <x v="2"/>
    <x v="42"/>
    <n v="6921316.5"/>
    <n v="31"/>
    <n v="5188"/>
    <n v="4800"/>
    <n v="223268.27419354839"/>
    <x v="3"/>
  </r>
  <r>
    <d v="2020-04-28T00:00:00"/>
    <x v="2"/>
    <x v="43"/>
    <n v="7163644.5"/>
    <n v="31"/>
    <n v="5465"/>
    <n v="5096"/>
    <n v="231085.30645161291"/>
    <x v="4"/>
  </r>
  <r>
    <d v="2020-05-13T00:00:00"/>
    <x v="2"/>
    <x v="44"/>
    <n v="6993952.5"/>
    <n v="31"/>
    <n v="5251"/>
    <n v="4853"/>
    <n v="225611.37096774194"/>
    <x v="1"/>
  </r>
  <r>
    <d v="2020-05-03T00:00:00"/>
    <x v="2"/>
    <x v="45"/>
    <n v="7013670"/>
    <n v="31"/>
    <n v="5155"/>
    <n v="4762"/>
    <n v="226247.4193548387"/>
    <x v="4"/>
  </r>
  <r>
    <d v="2020-05-06T00:00:00"/>
    <x v="2"/>
    <x v="46"/>
    <n v="6168657"/>
    <n v="31"/>
    <n v="4709"/>
    <n v="4348"/>
    <n v="198988.93548387097"/>
    <x v="3"/>
  </r>
  <r>
    <d v="2020-05-23T00:00:00"/>
    <x v="2"/>
    <x v="47"/>
    <n v="8089143"/>
    <n v="31"/>
    <n v="6276"/>
    <n v="5801"/>
    <n v="260940.09677419355"/>
    <x v="2"/>
  </r>
  <r>
    <d v="2020-05-25T00:00:00"/>
    <x v="2"/>
    <x v="48"/>
    <n v="6645603"/>
    <n v="31"/>
    <n v="5210"/>
    <n v="4841"/>
    <n v="214374.29032258064"/>
    <x v="0"/>
  </r>
  <r>
    <d v="2020-04-30T00:00:00"/>
    <x v="2"/>
    <x v="49"/>
    <n v="7023727.5"/>
    <n v="31"/>
    <n v="5120"/>
    <n v="4737"/>
    <n v="226571.85483870967"/>
    <x v="4"/>
  </r>
  <r>
    <d v="2020-05-10T00:00:00"/>
    <x v="2"/>
    <x v="50"/>
    <n v="7483194"/>
    <n v="31"/>
    <n v="5495"/>
    <n v="5093"/>
    <n v="241393.35483870967"/>
    <x v="3"/>
  </r>
  <r>
    <d v="2020-05-08T00:00:00"/>
    <x v="2"/>
    <x v="51"/>
    <n v="6293776.5"/>
    <n v="31"/>
    <n v="4635"/>
    <n v="4266"/>
    <n v="203025.04838709679"/>
    <x v="3"/>
  </r>
  <r>
    <d v="2020-05-07T00:00:00"/>
    <x v="2"/>
    <x v="52"/>
    <n v="6591883.5"/>
    <n v="31"/>
    <n v="4903"/>
    <n v="4527"/>
    <n v="212641.40322580645"/>
    <x v="3"/>
  </r>
  <r>
    <d v="2020-05-24T00:00:00"/>
    <x v="2"/>
    <x v="53"/>
    <n v="6451032"/>
    <n v="31"/>
    <n v="5035"/>
    <n v="4683"/>
    <n v="208097.80645161291"/>
    <x v="2"/>
  </r>
  <r>
    <d v="2020-05-16T00:00:00"/>
    <x v="3"/>
    <x v="54"/>
    <n v="1130506.5"/>
    <n v="10"/>
    <n v="760"/>
    <n v="672"/>
    <n v="113050.65"/>
    <x v="1"/>
  </r>
  <r>
    <d v="2020-05-19T00:00:00"/>
    <x v="3"/>
    <x v="55"/>
    <n v="938764.5"/>
    <n v="10"/>
    <n v="649"/>
    <n v="568"/>
    <n v="93876.45"/>
    <x v="2"/>
  </r>
  <r>
    <d v="2020-05-17T00:00:00"/>
    <x v="3"/>
    <x v="56"/>
    <n v="843727.5"/>
    <n v="10"/>
    <n v="591"/>
    <n v="513"/>
    <n v="84372.75"/>
    <x v="1"/>
  </r>
  <r>
    <d v="2020-05-09T00:00:00"/>
    <x v="3"/>
    <x v="57"/>
    <n v="1046400"/>
    <n v="10"/>
    <n v="644"/>
    <n v="559"/>
    <n v="104640"/>
    <x v="3"/>
  </r>
  <r>
    <d v="2020-05-04T00:00:00"/>
    <x v="3"/>
    <x v="58"/>
    <n v="728890.5"/>
    <n v="10"/>
    <n v="462"/>
    <n v="396"/>
    <n v="72889.05"/>
    <x v="3"/>
  </r>
  <r>
    <d v="2020-04-29T00:00:00"/>
    <x v="3"/>
    <x v="59"/>
    <n v="797919"/>
    <n v="10"/>
    <n v="502"/>
    <n v="433"/>
    <n v="79791.899999999994"/>
    <x v="4"/>
  </r>
  <r>
    <d v="2020-05-02T00:00:00"/>
    <x v="3"/>
    <x v="60"/>
    <n v="617881.5"/>
    <n v="10"/>
    <n v="416"/>
    <n v="341"/>
    <n v="61788.15"/>
    <x v="4"/>
  </r>
  <r>
    <d v="2020-05-26T00:00:00"/>
    <x v="3"/>
    <x v="61"/>
    <n v="983109"/>
    <n v="10"/>
    <n v="692"/>
    <n v="601"/>
    <n v="98310.9"/>
    <x v="0"/>
  </r>
  <r>
    <d v="2020-05-01T00:00:00"/>
    <x v="3"/>
    <x v="62"/>
    <n v="891139.5"/>
    <n v="10"/>
    <n v="554"/>
    <n v="472"/>
    <n v="89113.95"/>
    <x v="4"/>
  </r>
  <r>
    <d v="2020-05-12T00:00:00"/>
    <x v="3"/>
    <x v="63"/>
    <n v="732964.5"/>
    <n v="10"/>
    <n v="526"/>
    <n v="448"/>
    <n v="73296.45"/>
    <x v="1"/>
  </r>
  <r>
    <d v="2020-05-21T00:00:00"/>
    <x v="3"/>
    <x v="64"/>
    <n v="935523"/>
    <n v="10"/>
    <n v="677"/>
    <n v="591"/>
    <n v="93552.3"/>
    <x v="2"/>
  </r>
  <r>
    <d v="2020-05-20T00:00:00"/>
    <x v="3"/>
    <x v="65"/>
    <n v="1037247"/>
    <n v="10"/>
    <n v="745"/>
    <n v="654"/>
    <n v="103724.7"/>
    <x v="2"/>
  </r>
  <r>
    <d v="2020-05-05T00:00:00"/>
    <x v="3"/>
    <x v="66"/>
    <n v="793320"/>
    <n v="10"/>
    <n v="511"/>
    <n v="437"/>
    <n v="79332"/>
    <x v="3"/>
  </r>
  <r>
    <d v="2020-04-28T00:00:00"/>
    <x v="3"/>
    <x v="67"/>
    <n v="869983.5"/>
    <n v="10"/>
    <n v="580"/>
    <n v="506"/>
    <n v="86998.35"/>
    <x v="4"/>
  </r>
  <r>
    <d v="2020-05-13T00:00:00"/>
    <x v="3"/>
    <x v="68"/>
    <n v="865714.5"/>
    <n v="10"/>
    <n v="612"/>
    <n v="530"/>
    <n v="86571.45"/>
    <x v="1"/>
  </r>
  <r>
    <d v="2020-05-31T00:00:00"/>
    <x v="2"/>
    <x v="69"/>
    <n v="7512646.5"/>
    <n v="31"/>
    <n v="5760"/>
    <n v="5367"/>
    <n v="242343.43548387097"/>
    <x v="0"/>
  </r>
  <r>
    <d v="2020-05-03T00:00:00"/>
    <x v="3"/>
    <x v="70"/>
    <n v="637881"/>
    <n v="10"/>
    <n v="402"/>
    <n v="333"/>
    <n v="63788.1"/>
    <x v="4"/>
  </r>
  <r>
    <d v="2020-05-30T00:00:00"/>
    <x v="2"/>
    <x v="71"/>
    <n v="9164707.5"/>
    <n v="31"/>
    <n v="6735"/>
    <n v="6264"/>
    <n v="295635.72580645164"/>
    <x v="0"/>
  </r>
  <r>
    <d v="2020-05-06T00:00:00"/>
    <x v="3"/>
    <x v="72"/>
    <n v="696832.5"/>
    <n v="10"/>
    <n v="465"/>
    <n v="390"/>
    <n v="69683.25"/>
    <x v="3"/>
  </r>
  <r>
    <d v="2020-05-23T00:00:00"/>
    <x v="3"/>
    <x v="73"/>
    <n v="1241383.5"/>
    <n v="10"/>
    <n v="828"/>
    <n v="734"/>
    <n v="124138.35"/>
    <x v="2"/>
  </r>
  <r>
    <d v="2020-05-28T00:00:00"/>
    <x v="2"/>
    <x v="74"/>
    <n v="6641569.5"/>
    <n v="31"/>
    <n v="5355"/>
    <n v="4969"/>
    <n v="214244.17741935485"/>
    <x v="0"/>
  </r>
  <r>
    <d v="2020-05-25T00:00:00"/>
    <x v="3"/>
    <x v="75"/>
    <n v="1030440"/>
    <n v="10"/>
    <n v="739"/>
    <n v="642"/>
    <n v="103044"/>
    <x v="0"/>
  </r>
  <r>
    <d v="2020-04-30T00:00:00"/>
    <x v="3"/>
    <x v="76"/>
    <n v="716196"/>
    <n v="10"/>
    <n v="448"/>
    <n v="376"/>
    <n v="71619.600000000006"/>
    <x v="4"/>
  </r>
  <r>
    <d v="2020-05-10T00:00:00"/>
    <x v="3"/>
    <x v="77"/>
    <n v="1004788.5"/>
    <n v="10"/>
    <n v="642"/>
    <n v="556"/>
    <n v="100478.85"/>
    <x v="3"/>
  </r>
  <r>
    <d v="2020-05-08T00:00:00"/>
    <x v="3"/>
    <x v="78"/>
    <n v="959703"/>
    <n v="10"/>
    <n v="638"/>
    <n v="547"/>
    <n v="95970.3"/>
    <x v="3"/>
  </r>
  <r>
    <d v="2020-05-07T00:00:00"/>
    <x v="3"/>
    <x v="79"/>
    <n v="863754"/>
    <n v="10"/>
    <n v="563"/>
    <n v="486"/>
    <n v="86375.4"/>
    <x v="3"/>
  </r>
  <r>
    <d v="2020-05-24T00:00:00"/>
    <x v="3"/>
    <x v="80"/>
    <n v="828984"/>
    <n v="10"/>
    <n v="639"/>
    <n v="557"/>
    <n v="82898.399999999994"/>
    <x v="2"/>
  </r>
  <r>
    <d v="2020-05-31T00:00:00"/>
    <x v="3"/>
    <x v="81"/>
    <n v="1045515"/>
    <n v="10"/>
    <n v="749"/>
    <n v="655"/>
    <n v="104551.5"/>
    <x v="0"/>
  </r>
  <r>
    <d v="2020-05-30T00:00:00"/>
    <x v="3"/>
    <x v="82"/>
    <n v="1260483"/>
    <n v="10"/>
    <n v="865"/>
    <n v="763"/>
    <n v="126048.3"/>
    <x v="0"/>
  </r>
  <r>
    <d v="2020-05-28T00:00:00"/>
    <x v="3"/>
    <x v="83"/>
    <n v="1114552.5"/>
    <n v="10"/>
    <n v="791"/>
    <n v="697"/>
    <n v="111455.25"/>
    <x v="0"/>
  </r>
  <r>
    <d v="2020-05-16T00:00:00"/>
    <x v="4"/>
    <x v="84"/>
    <n v="3222517.5"/>
    <n v="19"/>
    <n v="2080"/>
    <n v="1844"/>
    <n v="169606.18421052632"/>
    <x v="1"/>
  </r>
  <r>
    <d v="2020-05-19T00:00:00"/>
    <x v="4"/>
    <x v="85"/>
    <n v="2865337.5"/>
    <n v="19"/>
    <n v="1999"/>
    <n v="1799"/>
    <n v="150807.23684210525"/>
    <x v="2"/>
  </r>
  <r>
    <d v="2020-05-17T00:00:00"/>
    <x v="4"/>
    <x v="86"/>
    <n v="2694289.5"/>
    <n v="19"/>
    <n v="1871"/>
    <n v="1660"/>
    <n v="141804.71052631579"/>
    <x v="1"/>
  </r>
  <r>
    <d v="2020-05-09T00:00:00"/>
    <x v="4"/>
    <x v="87"/>
    <n v="2902167"/>
    <n v="19"/>
    <n v="1851"/>
    <n v="1635"/>
    <n v="152745.63157894736"/>
    <x v="3"/>
  </r>
  <r>
    <d v="2020-05-04T00:00:00"/>
    <x v="4"/>
    <x v="88"/>
    <n v="2450968.5"/>
    <n v="19"/>
    <n v="1582"/>
    <n v="1403"/>
    <n v="128998.34210526316"/>
    <x v="3"/>
  </r>
  <r>
    <d v="2020-04-29T00:00:00"/>
    <x v="4"/>
    <x v="89"/>
    <n v="2397588"/>
    <n v="18"/>
    <n v="1534"/>
    <n v="1369"/>
    <n v="133199.33333333334"/>
    <x v="4"/>
  </r>
  <r>
    <d v="2020-05-02T00:00:00"/>
    <x v="4"/>
    <x v="90"/>
    <n v="1799230.5"/>
    <n v="19"/>
    <n v="1217"/>
    <n v="1048"/>
    <n v="94696.34210526316"/>
    <x v="4"/>
  </r>
  <r>
    <d v="2020-05-26T00:00:00"/>
    <x v="4"/>
    <x v="91"/>
    <n v="2907411"/>
    <n v="20"/>
    <n v="2036"/>
    <n v="1790"/>
    <n v="145370.54999999999"/>
    <x v="0"/>
  </r>
  <r>
    <d v="2020-05-01T00:00:00"/>
    <x v="4"/>
    <x v="92"/>
    <n v="2374356"/>
    <n v="19"/>
    <n v="1497"/>
    <n v="1291"/>
    <n v="124966.10526315789"/>
    <x v="4"/>
  </r>
  <r>
    <d v="2020-05-12T00:00:00"/>
    <x v="4"/>
    <x v="93"/>
    <n v="2370432"/>
    <n v="19"/>
    <n v="1649"/>
    <n v="1460"/>
    <n v="124759.57894736843"/>
    <x v="1"/>
  </r>
  <r>
    <d v="2020-05-21T00:00:00"/>
    <x v="4"/>
    <x v="94"/>
    <n v="2853181.5"/>
    <n v="19"/>
    <n v="1949"/>
    <n v="1724"/>
    <n v="150167.44736842104"/>
    <x v="2"/>
  </r>
  <r>
    <d v="2020-05-20T00:00:00"/>
    <x v="4"/>
    <x v="95"/>
    <n v="2692230"/>
    <n v="19"/>
    <n v="1889"/>
    <n v="1690"/>
    <n v="141696.31578947368"/>
    <x v="2"/>
  </r>
  <r>
    <d v="2020-05-05T00:00:00"/>
    <x v="4"/>
    <x v="96"/>
    <n v="2079900"/>
    <n v="19"/>
    <n v="1417"/>
    <n v="1245"/>
    <n v="109468.42105263157"/>
    <x v="3"/>
  </r>
  <r>
    <d v="2020-04-28T00:00:00"/>
    <x v="4"/>
    <x v="97"/>
    <n v="2136817.5"/>
    <n v="17"/>
    <n v="1439"/>
    <n v="1265"/>
    <n v="125695.14705882352"/>
    <x v="4"/>
  </r>
  <r>
    <d v="2020-05-13T00:00:00"/>
    <x v="4"/>
    <x v="98"/>
    <n v="2373337.5"/>
    <n v="19"/>
    <n v="1625"/>
    <n v="1444"/>
    <n v="124912.5"/>
    <x v="1"/>
  </r>
  <r>
    <d v="2020-05-03T00:00:00"/>
    <x v="4"/>
    <x v="99"/>
    <n v="2170309.5"/>
    <n v="19"/>
    <n v="1402"/>
    <n v="1234"/>
    <n v="114226.81578947368"/>
    <x v="4"/>
  </r>
  <r>
    <d v="2020-05-06T00:00:00"/>
    <x v="4"/>
    <x v="100"/>
    <n v="2232519"/>
    <n v="19"/>
    <n v="1499"/>
    <n v="1323"/>
    <n v="117501"/>
    <x v="3"/>
  </r>
  <r>
    <d v="2020-05-23T00:00:00"/>
    <x v="4"/>
    <x v="101"/>
    <n v="3385372.5"/>
    <n v="20"/>
    <n v="2266"/>
    <n v="1993"/>
    <n v="169268.625"/>
    <x v="2"/>
  </r>
  <r>
    <d v="2020-05-25T00:00:00"/>
    <x v="4"/>
    <x v="102"/>
    <n v="2865727.5"/>
    <n v="20"/>
    <n v="2011"/>
    <n v="1791"/>
    <n v="143286.375"/>
    <x v="0"/>
  </r>
  <r>
    <d v="2020-04-30T00:00:00"/>
    <x v="4"/>
    <x v="103"/>
    <n v="2267664"/>
    <n v="19"/>
    <n v="1499"/>
    <n v="1322"/>
    <n v="119350.73684210527"/>
    <x v="4"/>
  </r>
  <r>
    <d v="2020-05-10T00:00:00"/>
    <x v="4"/>
    <x v="104"/>
    <n v="2862298.5"/>
    <n v="19"/>
    <n v="1848"/>
    <n v="1649"/>
    <n v="150647.28947368421"/>
    <x v="3"/>
  </r>
  <r>
    <d v="2020-05-08T00:00:00"/>
    <x v="4"/>
    <x v="105"/>
    <n v="2271454.5"/>
    <n v="19"/>
    <n v="1522"/>
    <n v="1340"/>
    <n v="119550.23684210527"/>
    <x v="3"/>
  </r>
  <r>
    <d v="2020-05-07T00:00:00"/>
    <x v="4"/>
    <x v="106"/>
    <n v="2350672.5"/>
    <n v="19"/>
    <n v="1530"/>
    <n v="1338"/>
    <n v="123719.60526315789"/>
    <x v="3"/>
  </r>
  <r>
    <d v="2020-05-24T00:00:00"/>
    <x v="4"/>
    <x v="107"/>
    <n v="2915533.5"/>
    <n v="20"/>
    <n v="2015"/>
    <n v="1803"/>
    <n v="145776.67499999999"/>
    <x v="2"/>
  </r>
  <r>
    <d v="2020-05-31T00:00:00"/>
    <x v="4"/>
    <x v="108"/>
    <n v="2991999"/>
    <n v="20"/>
    <n v="2060"/>
    <n v="1826"/>
    <n v="149599.95000000001"/>
    <x v="0"/>
  </r>
  <r>
    <d v="2020-05-30T00:00:00"/>
    <x v="4"/>
    <x v="109"/>
    <n v="3654166.5"/>
    <n v="20"/>
    <n v="2451"/>
    <n v="2178"/>
    <n v="182708.32500000001"/>
    <x v="0"/>
  </r>
  <r>
    <d v="2020-05-28T00:00:00"/>
    <x v="4"/>
    <x v="110"/>
    <n v="3004213.5"/>
    <n v="20"/>
    <n v="2088"/>
    <n v="1848"/>
    <n v="150210.67499999999"/>
    <x v="0"/>
  </r>
  <r>
    <d v="2020-05-16T00:00:00"/>
    <x v="5"/>
    <x v="111"/>
    <n v="32235864"/>
    <n v="129"/>
    <n v="17914"/>
    <n v="16631"/>
    <n v="249890.41860465117"/>
    <x v="1"/>
  </r>
  <r>
    <d v="2020-05-19T00:00:00"/>
    <x v="5"/>
    <x v="112"/>
    <n v="27093624"/>
    <n v="129"/>
    <n v="16191"/>
    <n v="15102"/>
    <n v="210028.09302325582"/>
    <x v="2"/>
  </r>
  <r>
    <d v="2020-05-17T00:00:00"/>
    <x v="5"/>
    <x v="113"/>
    <n v="26659930.5"/>
    <n v="129"/>
    <n v="15744"/>
    <n v="14685"/>
    <n v="206666.12790697673"/>
    <x v="1"/>
  </r>
  <r>
    <d v="2020-05-09T00:00:00"/>
    <x v="5"/>
    <x v="114"/>
    <n v="29768199"/>
    <n v="129"/>
    <n v="16420"/>
    <n v="15169"/>
    <n v="230761.23255813954"/>
    <x v="3"/>
  </r>
  <r>
    <d v="2020-05-04T00:00:00"/>
    <x v="5"/>
    <x v="115"/>
    <n v="29357940"/>
    <n v="129"/>
    <n v="16525"/>
    <n v="15310"/>
    <n v="227580.93023255814"/>
    <x v="3"/>
  </r>
  <r>
    <d v="2020-04-29T00:00:00"/>
    <x v="5"/>
    <x v="116"/>
    <n v="30869287.5"/>
    <n v="128"/>
    <n v="17368"/>
    <n v="16077"/>
    <n v="241166.30859375"/>
    <x v="4"/>
  </r>
  <r>
    <d v="2020-05-02T00:00:00"/>
    <x v="5"/>
    <x v="117"/>
    <n v="24342016.5"/>
    <n v="129"/>
    <n v="14009"/>
    <n v="12920"/>
    <n v="188697.8023255814"/>
    <x v="4"/>
  </r>
  <r>
    <d v="2020-05-26T00:00:00"/>
    <x v="5"/>
    <x v="118"/>
    <n v="27872617.898850001"/>
    <n v="129"/>
    <n v="16459"/>
    <n v="15355"/>
    <n v="216066.80541744188"/>
    <x v="0"/>
  </r>
  <r>
    <d v="2020-05-01T00:00:00"/>
    <x v="5"/>
    <x v="119"/>
    <n v="31053316.5"/>
    <n v="129"/>
    <n v="17002"/>
    <n v="15570"/>
    <n v="240723.38372093023"/>
    <x v="4"/>
  </r>
  <r>
    <d v="2020-05-12T00:00:00"/>
    <x v="5"/>
    <x v="120"/>
    <n v="29042520"/>
    <n v="129"/>
    <n v="16387"/>
    <n v="15322"/>
    <n v="225135.81395348837"/>
    <x v="1"/>
  </r>
  <r>
    <d v="2020-05-21T00:00:00"/>
    <x v="5"/>
    <x v="121"/>
    <n v="27852900"/>
    <n v="129"/>
    <n v="16373"/>
    <n v="15223"/>
    <n v="215913.95348837209"/>
    <x v="2"/>
  </r>
  <r>
    <d v="2020-05-20T00:00:00"/>
    <x v="5"/>
    <x v="122"/>
    <n v="29368771.617449999"/>
    <n v="129"/>
    <n v="17095"/>
    <n v="15919"/>
    <n v="227664.8962593023"/>
    <x v="2"/>
  </r>
  <r>
    <d v="2020-05-05T00:00:00"/>
    <x v="5"/>
    <x v="123"/>
    <n v="27278441.145"/>
    <n v="129"/>
    <n v="15665"/>
    <n v="14501"/>
    <n v="211460.78406976743"/>
    <x v="3"/>
  </r>
  <r>
    <d v="2020-04-28T00:00:00"/>
    <x v="5"/>
    <x v="124"/>
    <n v="29159032.5"/>
    <n v="128"/>
    <n v="16450"/>
    <n v="15320"/>
    <n v="227804.94140625"/>
    <x v="4"/>
  </r>
  <r>
    <d v="2020-05-13T00:00:00"/>
    <x v="5"/>
    <x v="125"/>
    <n v="26467453.5"/>
    <n v="129"/>
    <n v="15304"/>
    <n v="14315"/>
    <n v="205174.05813953487"/>
    <x v="1"/>
  </r>
  <r>
    <d v="2020-05-03T00:00:00"/>
    <x v="5"/>
    <x v="126"/>
    <n v="28427001"/>
    <n v="129"/>
    <n v="15778"/>
    <n v="14624"/>
    <n v="220364.34883720931"/>
    <x v="4"/>
  </r>
  <r>
    <d v="2020-05-06T00:00:00"/>
    <x v="5"/>
    <x v="127"/>
    <n v="28770810.105599999"/>
    <n v="129"/>
    <n v="16376"/>
    <n v="15197"/>
    <n v="223029.53570232558"/>
    <x v="3"/>
  </r>
  <r>
    <d v="2020-05-23T00:00:00"/>
    <x v="5"/>
    <x v="128"/>
    <n v="35103926.711549997"/>
    <n v="129"/>
    <n v="19856"/>
    <n v="18325"/>
    <n v="272123.46288023255"/>
    <x v="2"/>
  </r>
  <r>
    <d v="2020-05-25T00:00:00"/>
    <x v="5"/>
    <x v="129"/>
    <n v="27165913.5"/>
    <n v="129"/>
    <n v="15822"/>
    <n v="14753"/>
    <n v="210588.47674418605"/>
    <x v="0"/>
  </r>
  <r>
    <d v="2020-04-30T00:00:00"/>
    <x v="5"/>
    <x v="130"/>
    <n v="32418879"/>
    <n v="129"/>
    <n v="18042"/>
    <n v="16631"/>
    <n v="251309.13953488372"/>
    <x v="4"/>
  </r>
  <r>
    <d v="2020-05-10T00:00:00"/>
    <x v="5"/>
    <x v="131"/>
    <n v="29536176.10605"/>
    <n v="129"/>
    <n v="16437"/>
    <n v="15285"/>
    <n v="228962.6054732558"/>
    <x v="3"/>
  </r>
  <r>
    <d v="2020-05-08T00:00:00"/>
    <x v="5"/>
    <x v="132"/>
    <n v="38091556.5"/>
    <n v="129"/>
    <n v="20452"/>
    <n v="18857"/>
    <n v="295283.38372093026"/>
    <x v="3"/>
  </r>
  <r>
    <d v="2020-05-07T00:00:00"/>
    <x v="5"/>
    <x v="133"/>
    <n v="25325271"/>
    <n v="129"/>
    <n v="14582"/>
    <n v="13512"/>
    <n v="196319.93023255814"/>
    <x v="3"/>
  </r>
  <r>
    <d v="2020-05-24T00:00:00"/>
    <x v="5"/>
    <x v="134"/>
    <n v="28188534"/>
    <n v="129"/>
    <n v="16432"/>
    <n v="15345"/>
    <n v="218515.76744186046"/>
    <x v="2"/>
  </r>
  <r>
    <d v="2020-05-16T00:00:00"/>
    <x v="6"/>
    <x v="135"/>
    <n v="42323631"/>
    <n v="125"/>
    <n v="22291"/>
    <n v="20635"/>
    <n v="338589.04800000001"/>
    <x v="1"/>
  </r>
  <r>
    <d v="2020-05-19T00:00:00"/>
    <x v="6"/>
    <x v="136"/>
    <n v="37023243"/>
    <n v="125"/>
    <n v="20771"/>
    <n v="19338"/>
    <n v="296185.94400000002"/>
    <x v="2"/>
  </r>
  <r>
    <d v="2020-05-17T00:00:00"/>
    <x v="6"/>
    <x v="137"/>
    <n v="36834567"/>
    <n v="125"/>
    <n v="20079"/>
    <n v="18721"/>
    <n v="294676.53600000002"/>
    <x v="1"/>
  </r>
  <r>
    <d v="2020-05-09T00:00:00"/>
    <x v="6"/>
    <x v="138"/>
    <n v="38693427"/>
    <n v="125"/>
    <n v="20132"/>
    <n v="18617"/>
    <n v="309547.41600000003"/>
    <x v="3"/>
  </r>
  <r>
    <d v="2020-05-04T00:00:00"/>
    <x v="6"/>
    <x v="139"/>
    <n v="38406954"/>
    <n v="125"/>
    <n v="20495"/>
    <n v="18964"/>
    <n v="307255.63199999998"/>
    <x v="3"/>
  </r>
  <r>
    <d v="2020-04-29T00:00:00"/>
    <x v="6"/>
    <x v="140"/>
    <n v="41559384"/>
    <n v="125"/>
    <n v="21863"/>
    <n v="20160"/>
    <n v="332475.07199999999"/>
    <x v="4"/>
  </r>
  <r>
    <d v="2020-05-02T00:00:00"/>
    <x v="6"/>
    <x v="141"/>
    <n v="31843737"/>
    <n v="125"/>
    <n v="16932"/>
    <n v="15601"/>
    <n v="254749.89600000001"/>
    <x v="4"/>
  </r>
  <r>
    <d v="2020-05-26T00:00:00"/>
    <x v="6"/>
    <x v="142"/>
    <n v="38365960.5"/>
    <n v="124"/>
    <n v="21153"/>
    <n v="19673"/>
    <n v="309402.90725806454"/>
    <x v="0"/>
  </r>
  <r>
    <d v="2020-05-01T00:00:00"/>
    <x v="6"/>
    <x v="143"/>
    <n v="40077193.5"/>
    <n v="125"/>
    <n v="20602"/>
    <n v="18845"/>
    <n v="320617.54800000001"/>
    <x v="4"/>
  </r>
  <r>
    <d v="2020-05-12T00:00:00"/>
    <x v="6"/>
    <x v="144"/>
    <n v="39578577"/>
    <n v="125"/>
    <n v="21106"/>
    <n v="19651"/>
    <n v="316628.61599999998"/>
    <x v="1"/>
  </r>
  <r>
    <d v="2020-05-21T00:00:00"/>
    <x v="6"/>
    <x v="145"/>
    <n v="37902156.57"/>
    <n v="125"/>
    <n v="20911"/>
    <n v="19358"/>
    <n v="303217.25255999999"/>
    <x v="2"/>
  </r>
  <r>
    <d v="2020-05-20T00:00:00"/>
    <x v="6"/>
    <x v="146"/>
    <n v="39639309"/>
    <n v="125"/>
    <n v="21674"/>
    <n v="20155"/>
    <n v="317114.47200000001"/>
    <x v="2"/>
  </r>
  <r>
    <d v="2020-05-05T00:00:00"/>
    <x v="6"/>
    <x v="147"/>
    <n v="35671734"/>
    <n v="125"/>
    <n v="18944"/>
    <n v="17541"/>
    <n v="285373.87199999997"/>
    <x v="3"/>
  </r>
  <r>
    <d v="2020-04-28T00:00:00"/>
    <x v="6"/>
    <x v="148"/>
    <n v="39918028.5"/>
    <n v="125"/>
    <n v="20914"/>
    <n v="19479"/>
    <n v="319344.228"/>
    <x v="4"/>
  </r>
  <r>
    <d v="2020-05-13T00:00:00"/>
    <x v="6"/>
    <x v="149"/>
    <n v="37197115.5"/>
    <n v="125"/>
    <n v="19965"/>
    <n v="18573"/>
    <n v="297576.924"/>
    <x v="1"/>
  </r>
  <r>
    <d v="2020-05-31T00:00:00"/>
    <x v="5"/>
    <x v="150"/>
    <n v="29327766"/>
    <n v="129"/>
    <n v="17235"/>
    <n v="16052"/>
    <n v="227347.02325581395"/>
    <x v="0"/>
  </r>
  <r>
    <d v="2020-05-03T00:00:00"/>
    <x v="6"/>
    <x v="151"/>
    <n v="36631999.5"/>
    <n v="125"/>
    <n v="18861"/>
    <n v="17420"/>
    <n v="293055.99599999998"/>
    <x v="4"/>
  </r>
  <r>
    <d v="2020-05-30T00:00:00"/>
    <x v="5"/>
    <x v="152"/>
    <n v="35724493.5"/>
    <n v="129"/>
    <n v="20243"/>
    <n v="18711"/>
    <n v="276934.0581395349"/>
    <x v="0"/>
  </r>
  <r>
    <d v="2020-05-06T00:00:00"/>
    <x v="6"/>
    <x v="153"/>
    <n v="38092344"/>
    <n v="125"/>
    <n v="20218"/>
    <n v="18647"/>
    <n v="304738.75199999998"/>
    <x v="3"/>
  </r>
  <r>
    <d v="2020-05-23T00:00:00"/>
    <x v="6"/>
    <x v="154"/>
    <n v="46408080"/>
    <n v="125"/>
    <n v="24574"/>
    <n v="22609"/>
    <n v="371264.64"/>
    <x v="2"/>
  </r>
  <r>
    <d v="2020-05-28T00:00:00"/>
    <x v="5"/>
    <x v="155"/>
    <n v="28151004.75"/>
    <n v="129"/>
    <n v="16453"/>
    <n v="15289"/>
    <n v="218224.84302325582"/>
    <x v="0"/>
  </r>
  <r>
    <d v="2020-05-25T00:00:00"/>
    <x v="6"/>
    <x v="156"/>
    <n v="36883428"/>
    <n v="124"/>
    <n v="20358"/>
    <n v="18890"/>
    <n v="297447"/>
    <x v="0"/>
  </r>
  <r>
    <d v="2020-04-30T00:00:00"/>
    <x v="6"/>
    <x v="157"/>
    <n v="43028734.5"/>
    <n v="125"/>
    <n v="22368"/>
    <n v="20625"/>
    <n v="344229.87599999999"/>
    <x v="4"/>
  </r>
  <r>
    <d v="2020-05-10T00:00:00"/>
    <x v="6"/>
    <x v="158"/>
    <n v="39010875"/>
    <n v="125"/>
    <n v="20368"/>
    <n v="18884"/>
    <n v="312087"/>
    <x v="3"/>
  </r>
  <r>
    <d v="2020-05-08T00:00:00"/>
    <x v="6"/>
    <x v="159"/>
    <n v="49123180.5"/>
    <n v="125"/>
    <n v="24620"/>
    <n v="22641"/>
    <n v="392985.44400000002"/>
    <x v="3"/>
  </r>
  <r>
    <d v="2020-05-07T00:00:00"/>
    <x v="6"/>
    <x v="160"/>
    <n v="33763989"/>
    <n v="125"/>
    <n v="18014"/>
    <n v="16675"/>
    <n v="270111.91200000001"/>
    <x v="3"/>
  </r>
  <r>
    <d v="2020-05-24T00:00:00"/>
    <x v="6"/>
    <x v="161"/>
    <n v="38191381.5"/>
    <n v="125"/>
    <n v="21004"/>
    <n v="19556"/>
    <n v="305531.05200000003"/>
    <x v="2"/>
  </r>
  <r>
    <d v="2020-05-16T00:00:00"/>
    <x v="7"/>
    <x v="162"/>
    <n v="6652179"/>
    <n v="36"/>
    <n v="5286"/>
    <n v="4867"/>
    <n v="184782.75"/>
    <x v="1"/>
  </r>
  <r>
    <d v="2020-05-19T00:00:00"/>
    <x v="7"/>
    <x v="163"/>
    <n v="6173463"/>
    <n v="36"/>
    <n v="5094"/>
    <n v="4716"/>
    <n v="171485.08333333334"/>
    <x v="2"/>
  </r>
  <r>
    <d v="2020-05-17T00:00:00"/>
    <x v="7"/>
    <x v="164"/>
    <n v="5952802.5"/>
    <n v="36"/>
    <n v="4918"/>
    <n v="4554"/>
    <n v="165355.625"/>
    <x v="1"/>
  </r>
  <r>
    <d v="2020-05-09T00:00:00"/>
    <x v="7"/>
    <x v="165"/>
    <n v="7253427"/>
    <n v="36"/>
    <n v="5413"/>
    <n v="4959"/>
    <n v="201484.08333333334"/>
    <x v="3"/>
  </r>
  <r>
    <d v="2020-05-04T00:00:00"/>
    <x v="7"/>
    <x v="166"/>
    <n v="5561452.5"/>
    <n v="36"/>
    <n v="4508"/>
    <n v="4149"/>
    <n v="154484.79166666666"/>
    <x v="3"/>
  </r>
  <r>
    <d v="2020-04-29T00:00:00"/>
    <x v="7"/>
    <x v="167"/>
    <n v="6454458"/>
    <n v="36"/>
    <n v="4937"/>
    <n v="4561"/>
    <n v="179290.5"/>
    <x v="4"/>
  </r>
  <r>
    <d v="2020-05-02T00:00:00"/>
    <x v="7"/>
    <x v="168"/>
    <n v="4118251.5"/>
    <n v="36"/>
    <n v="3442"/>
    <n v="3147"/>
    <n v="114395.875"/>
    <x v="4"/>
  </r>
  <r>
    <d v="2020-05-26T00:00:00"/>
    <x v="7"/>
    <x v="169"/>
    <n v="5864989.5"/>
    <n v="36"/>
    <n v="4770"/>
    <n v="4424"/>
    <n v="162916.375"/>
    <x v="0"/>
  </r>
  <r>
    <d v="2020-05-01T00:00:00"/>
    <x v="7"/>
    <x v="170"/>
    <n v="7032225"/>
    <n v="36"/>
    <n v="5457"/>
    <n v="4916"/>
    <n v="195339.58333333334"/>
    <x v="4"/>
  </r>
  <r>
    <d v="2020-05-12T00:00:00"/>
    <x v="7"/>
    <x v="171"/>
    <n v="5523145.5"/>
    <n v="36"/>
    <n v="4418"/>
    <n v="4088"/>
    <n v="153420.70833333334"/>
    <x v="1"/>
  </r>
  <r>
    <d v="2020-05-21T00:00:00"/>
    <x v="7"/>
    <x v="172"/>
    <n v="5864085"/>
    <n v="36"/>
    <n v="4816"/>
    <n v="4452"/>
    <n v="162891.25"/>
    <x v="2"/>
  </r>
  <r>
    <d v="2020-05-20T00:00:00"/>
    <x v="7"/>
    <x v="173"/>
    <n v="7121946"/>
    <n v="36"/>
    <n v="5914"/>
    <n v="5384"/>
    <n v="197831.83333333334"/>
    <x v="2"/>
  </r>
  <r>
    <d v="2020-05-05T00:00:00"/>
    <x v="7"/>
    <x v="174"/>
    <n v="5770539"/>
    <n v="36"/>
    <n v="4575"/>
    <n v="4206"/>
    <n v="160292.75"/>
    <x v="3"/>
  </r>
  <r>
    <d v="2020-04-28T00:00:00"/>
    <x v="7"/>
    <x v="175"/>
    <n v="6288246"/>
    <n v="36"/>
    <n v="4923"/>
    <n v="4560"/>
    <n v="174673.5"/>
    <x v="4"/>
  </r>
  <r>
    <d v="2020-05-13T00:00:00"/>
    <x v="7"/>
    <x v="176"/>
    <n v="6333828"/>
    <n v="36"/>
    <n v="4967"/>
    <n v="4583"/>
    <n v="175939.66666666666"/>
    <x v="1"/>
  </r>
  <r>
    <d v="2020-05-31T00:00:00"/>
    <x v="6"/>
    <x v="177"/>
    <n v="39380178"/>
    <n v="124"/>
    <n v="21392"/>
    <n v="19869"/>
    <n v="317582.08064516127"/>
    <x v="0"/>
  </r>
  <r>
    <d v="2020-05-03T00:00:00"/>
    <x v="7"/>
    <x v="178"/>
    <n v="6221320.5"/>
    <n v="36"/>
    <n v="4751"/>
    <n v="4370"/>
    <n v="172814.45833333334"/>
    <x v="4"/>
  </r>
  <r>
    <d v="2020-05-30T00:00:00"/>
    <x v="6"/>
    <x v="179"/>
    <n v="46370904"/>
    <n v="124"/>
    <n v="24325"/>
    <n v="22469"/>
    <n v="373958.90322580643"/>
    <x v="0"/>
  </r>
  <r>
    <d v="2020-05-06T00:00:00"/>
    <x v="7"/>
    <x v="180"/>
    <n v="5454121.5"/>
    <n v="36"/>
    <n v="4384"/>
    <n v="4025"/>
    <n v="151503.375"/>
    <x v="3"/>
  </r>
  <r>
    <d v="2020-05-23T00:00:00"/>
    <x v="7"/>
    <x v="181"/>
    <n v="7173117"/>
    <n v="36"/>
    <n v="5651"/>
    <n v="5212"/>
    <n v="199253.25"/>
    <x v="2"/>
  </r>
  <r>
    <d v="2020-05-28T00:00:00"/>
    <x v="6"/>
    <x v="182"/>
    <n v="37947688.5"/>
    <n v="124"/>
    <n v="20868"/>
    <n v="19342"/>
    <n v="306029.74596774194"/>
    <x v="0"/>
  </r>
  <r>
    <d v="2020-05-25T00:00:00"/>
    <x v="7"/>
    <x v="183"/>
    <n v="5704650"/>
    <n v="36"/>
    <n v="4641"/>
    <n v="4274"/>
    <n v="158462.5"/>
    <x v="0"/>
  </r>
  <r>
    <d v="2020-04-30T00:00:00"/>
    <x v="7"/>
    <x v="184"/>
    <n v="6819594"/>
    <n v="36"/>
    <n v="5143"/>
    <n v="4715"/>
    <n v="189433.16666666666"/>
    <x v="4"/>
  </r>
  <r>
    <d v="2020-05-10T00:00:00"/>
    <x v="7"/>
    <x v="185"/>
    <n v="7726069.5"/>
    <n v="36"/>
    <n v="5746"/>
    <n v="5277"/>
    <n v="214613.04166666666"/>
    <x v="3"/>
  </r>
  <r>
    <d v="2020-05-08T00:00:00"/>
    <x v="7"/>
    <x v="186"/>
    <n v="5365708.5"/>
    <n v="36"/>
    <n v="4199"/>
    <n v="3867"/>
    <n v="149047.45833333334"/>
    <x v="3"/>
  </r>
  <r>
    <d v="2020-05-07T00:00:00"/>
    <x v="7"/>
    <x v="187"/>
    <n v="6175837.5"/>
    <n v="36"/>
    <n v="4826"/>
    <n v="4426"/>
    <n v="171551.04166666666"/>
    <x v="3"/>
  </r>
  <r>
    <d v="2020-05-24T00:00:00"/>
    <x v="7"/>
    <x v="188"/>
    <n v="6098236.5"/>
    <n v="36"/>
    <n v="4915"/>
    <n v="4562"/>
    <n v="169395.45833333334"/>
    <x v="2"/>
  </r>
  <r>
    <d v="2020-05-16T00:00:00"/>
    <x v="8"/>
    <x v="189"/>
    <n v="4025148"/>
    <n v="21"/>
    <n v="2427"/>
    <n v="2213"/>
    <n v="191673.71428571429"/>
    <x v="1"/>
  </r>
  <r>
    <d v="2020-05-19T00:00:00"/>
    <x v="8"/>
    <x v="190"/>
    <n v="3552937.5"/>
    <n v="21"/>
    <n v="2245"/>
    <n v="2053"/>
    <n v="169187.5"/>
    <x v="2"/>
  </r>
  <r>
    <d v="2020-05-17T00:00:00"/>
    <x v="8"/>
    <x v="191"/>
    <n v="3191155.5"/>
    <n v="21"/>
    <n v="2054"/>
    <n v="1883"/>
    <n v="151959.78571428571"/>
    <x v="1"/>
  </r>
  <r>
    <d v="2020-05-09T00:00:00"/>
    <x v="8"/>
    <x v="192"/>
    <n v="3084892.5"/>
    <n v="21"/>
    <n v="1891"/>
    <n v="1709"/>
    <n v="146899.64285714287"/>
    <x v="3"/>
  </r>
  <r>
    <d v="2020-05-04T00:00:00"/>
    <x v="8"/>
    <x v="193"/>
    <n v="2817853.5"/>
    <n v="20"/>
    <n v="1804"/>
    <n v="1638"/>
    <n v="140892.67499999999"/>
    <x v="3"/>
  </r>
  <r>
    <d v="2020-04-29T00:00:00"/>
    <x v="8"/>
    <x v="194"/>
    <n v="2627595"/>
    <n v="19"/>
    <n v="1676"/>
    <n v="1516"/>
    <n v="138294.47368421053"/>
    <x v="4"/>
  </r>
  <r>
    <d v="2020-05-02T00:00:00"/>
    <x v="8"/>
    <x v="195"/>
    <n v="2470465.5"/>
    <n v="20"/>
    <n v="1613"/>
    <n v="1457"/>
    <n v="123523.27499999999"/>
    <x v="4"/>
  </r>
  <r>
    <d v="2020-05-26T00:00:00"/>
    <x v="8"/>
    <x v="196"/>
    <n v="3700311"/>
    <n v="21"/>
    <n v="2418"/>
    <n v="2215"/>
    <n v="176205.28571428571"/>
    <x v="0"/>
  </r>
  <r>
    <d v="2020-05-01T00:00:00"/>
    <x v="8"/>
    <x v="197"/>
    <n v="4293241.5"/>
    <n v="20"/>
    <n v="2468"/>
    <n v="2221"/>
    <n v="214662.07500000001"/>
    <x v="4"/>
  </r>
  <r>
    <d v="2020-05-12T00:00:00"/>
    <x v="8"/>
    <x v="198"/>
    <n v="3080614.5"/>
    <n v="21"/>
    <n v="1926"/>
    <n v="1745"/>
    <n v="146695.92857142858"/>
    <x v="1"/>
  </r>
  <r>
    <d v="2020-05-21T00:00:00"/>
    <x v="8"/>
    <x v="199"/>
    <n v="3810394.5"/>
    <n v="21"/>
    <n v="2335"/>
    <n v="2126"/>
    <n v="181447.35714285713"/>
    <x v="2"/>
  </r>
  <r>
    <d v="2020-05-20T00:00:00"/>
    <x v="8"/>
    <x v="200"/>
    <n v="3918987"/>
    <n v="21"/>
    <n v="2410"/>
    <n v="2202"/>
    <n v="186618.42857142858"/>
    <x v="2"/>
  </r>
  <r>
    <d v="2020-05-05T00:00:00"/>
    <x v="8"/>
    <x v="201"/>
    <n v="2648688"/>
    <n v="20"/>
    <n v="1757"/>
    <n v="1596"/>
    <n v="132434.4"/>
    <x v="3"/>
  </r>
  <r>
    <d v="2020-04-28T00:00:00"/>
    <x v="8"/>
    <x v="202"/>
    <n v="2863600.5"/>
    <n v="19"/>
    <n v="1846"/>
    <n v="1681"/>
    <n v="150715.81578947368"/>
    <x v="4"/>
  </r>
  <r>
    <d v="2020-05-13T00:00:00"/>
    <x v="8"/>
    <x v="203"/>
    <n v="3288069"/>
    <n v="21"/>
    <n v="2061"/>
    <n v="1876"/>
    <n v="156574.71428571429"/>
    <x v="1"/>
  </r>
  <r>
    <d v="2020-05-31T00:00:00"/>
    <x v="7"/>
    <x v="204"/>
    <n v="6500848.5"/>
    <n v="37"/>
    <n v="5215"/>
    <n v="4848"/>
    <n v="175698.60810810811"/>
    <x v="0"/>
  </r>
  <r>
    <d v="2020-05-03T00:00:00"/>
    <x v="8"/>
    <x v="205"/>
    <n v="2720002.5"/>
    <n v="20"/>
    <n v="1716"/>
    <n v="1561"/>
    <n v="136000.125"/>
    <x v="4"/>
  </r>
  <r>
    <d v="2020-05-30T00:00:00"/>
    <x v="7"/>
    <x v="206"/>
    <n v="9098386.5"/>
    <n v="37"/>
    <n v="6645"/>
    <n v="6122"/>
    <n v="245902.33783783784"/>
    <x v="0"/>
  </r>
  <r>
    <d v="2020-05-06T00:00:00"/>
    <x v="8"/>
    <x v="207"/>
    <n v="2738127"/>
    <n v="20"/>
    <n v="1747"/>
    <n v="1570"/>
    <n v="136906.35"/>
    <x v="3"/>
  </r>
  <r>
    <d v="2020-05-23T00:00:00"/>
    <x v="8"/>
    <x v="208"/>
    <n v="3883215"/>
    <n v="21"/>
    <n v="2460"/>
    <n v="2226"/>
    <n v="184915"/>
    <x v="2"/>
  </r>
  <r>
    <d v="2020-05-28T00:00:00"/>
    <x v="7"/>
    <x v="209"/>
    <n v="6101931"/>
    <n v="37"/>
    <n v="4840"/>
    <n v="4475"/>
    <n v="164917.05405405405"/>
    <x v="0"/>
  </r>
  <r>
    <d v="2020-05-25T00:00:00"/>
    <x v="8"/>
    <x v="210"/>
    <n v="3561655.5"/>
    <n v="21"/>
    <n v="2330"/>
    <n v="2142"/>
    <n v="169602.64285714287"/>
    <x v="0"/>
  </r>
  <r>
    <d v="2020-04-30T00:00:00"/>
    <x v="8"/>
    <x v="211"/>
    <n v="2853310.5"/>
    <n v="20"/>
    <n v="1756"/>
    <n v="1586"/>
    <n v="142665.52499999999"/>
    <x v="4"/>
  </r>
  <r>
    <d v="2020-05-10T00:00:00"/>
    <x v="8"/>
    <x v="212"/>
    <n v="3549097.5"/>
    <n v="21"/>
    <n v="2120"/>
    <n v="1921"/>
    <n v="169004.64285714287"/>
    <x v="3"/>
  </r>
  <r>
    <d v="2020-05-08T00:00:00"/>
    <x v="8"/>
    <x v="213"/>
    <n v="3201358.5"/>
    <n v="21"/>
    <n v="1957"/>
    <n v="1755"/>
    <n v="152445.64285714287"/>
    <x v="3"/>
  </r>
  <r>
    <d v="2020-05-07T00:00:00"/>
    <x v="8"/>
    <x v="214"/>
    <n v="2934504"/>
    <n v="21"/>
    <n v="1879"/>
    <n v="1695"/>
    <n v="139738.28571428571"/>
    <x v="3"/>
  </r>
  <r>
    <d v="2020-05-24T00:00:00"/>
    <x v="8"/>
    <x v="215"/>
    <n v="3449302.5"/>
    <n v="21"/>
    <n v="2254"/>
    <n v="2061"/>
    <n v="164252.5"/>
    <x v="2"/>
  </r>
  <r>
    <d v="2020-05-31T00:00:00"/>
    <x v="8"/>
    <x v="216"/>
    <n v="3994153.5"/>
    <n v="23"/>
    <n v="2522"/>
    <n v="2295"/>
    <n v="173658.84782608695"/>
    <x v="0"/>
  </r>
  <r>
    <d v="2020-05-30T00:00:00"/>
    <x v="8"/>
    <x v="217"/>
    <n v="4456441.5"/>
    <n v="22"/>
    <n v="2793"/>
    <n v="2539"/>
    <n v="202565.52272727274"/>
    <x v="0"/>
  </r>
  <r>
    <d v="2020-05-28T00:00:00"/>
    <x v="8"/>
    <x v="218"/>
    <n v="3893680.5"/>
    <n v="22"/>
    <n v="2454"/>
    <n v="2239"/>
    <n v="176985.47727272726"/>
    <x v="0"/>
  </r>
  <r>
    <d v="2020-05-16T00:00:00"/>
    <x v="9"/>
    <x v="219"/>
    <n v="1601425.5"/>
    <n v="15"/>
    <n v="1111"/>
    <n v="992"/>
    <n v="106761.7"/>
    <x v="1"/>
  </r>
  <r>
    <d v="2020-05-19T00:00:00"/>
    <x v="9"/>
    <x v="220"/>
    <n v="1364847"/>
    <n v="16"/>
    <n v="1012"/>
    <n v="900"/>
    <n v="85302.9375"/>
    <x v="2"/>
  </r>
  <r>
    <d v="2020-05-17T00:00:00"/>
    <x v="9"/>
    <x v="221"/>
    <n v="1377577.5"/>
    <n v="15"/>
    <n v="971"/>
    <n v="856"/>
    <n v="91838.5"/>
    <x v="1"/>
  </r>
  <r>
    <d v="2020-05-09T00:00:00"/>
    <x v="9"/>
    <x v="222"/>
    <n v="1222932"/>
    <n v="15"/>
    <n v="849"/>
    <n v="740"/>
    <n v="81528.800000000003"/>
    <x v="3"/>
  </r>
  <r>
    <d v="2020-05-04T00:00:00"/>
    <x v="9"/>
    <x v="223"/>
    <n v="1085211"/>
    <n v="15"/>
    <n v="750"/>
    <n v="647"/>
    <n v="72347.399999999994"/>
    <x v="3"/>
  </r>
  <r>
    <d v="2020-04-29T00:00:00"/>
    <x v="9"/>
    <x v="224"/>
    <n v="1115992.5"/>
    <n v="15"/>
    <n v="786"/>
    <n v="695"/>
    <n v="74399.5"/>
    <x v="4"/>
  </r>
  <r>
    <d v="2020-05-02T00:00:00"/>
    <x v="9"/>
    <x v="225"/>
    <n v="1053220.5"/>
    <n v="15"/>
    <n v="751"/>
    <n v="651"/>
    <n v="70214.7"/>
    <x v="4"/>
  </r>
  <r>
    <d v="2020-05-26T00:00:00"/>
    <x v="9"/>
    <x v="226"/>
    <n v="1489132.5"/>
    <n v="17"/>
    <n v="1140"/>
    <n v="1016"/>
    <n v="87596.029411764699"/>
    <x v="0"/>
  </r>
  <r>
    <d v="2020-05-01T00:00:00"/>
    <x v="9"/>
    <x v="227"/>
    <n v="1465842"/>
    <n v="15"/>
    <n v="996"/>
    <n v="888"/>
    <n v="97722.8"/>
    <x v="4"/>
  </r>
  <r>
    <d v="2020-05-12T00:00:00"/>
    <x v="9"/>
    <x v="228"/>
    <n v="1123830"/>
    <n v="15"/>
    <n v="845"/>
    <n v="743"/>
    <n v="74922"/>
    <x v="1"/>
  </r>
  <r>
    <d v="2020-05-21T00:00:00"/>
    <x v="9"/>
    <x v="229"/>
    <n v="1380751.5"/>
    <n v="17"/>
    <n v="1045"/>
    <n v="930"/>
    <n v="81220.676470588238"/>
    <x v="2"/>
  </r>
  <r>
    <d v="2020-05-20T00:00:00"/>
    <x v="9"/>
    <x v="230"/>
    <n v="1430254.5"/>
    <n v="16"/>
    <n v="1050"/>
    <n v="938"/>
    <n v="89390.90625"/>
    <x v="2"/>
  </r>
  <r>
    <d v="2020-05-05T00:00:00"/>
    <x v="9"/>
    <x v="231"/>
    <n v="1384179"/>
    <n v="15"/>
    <n v="922"/>
    <n v="823"/>
    <n v="92278.6"/>
    <x v="3"/>
  </r>
  <r>
    <d v="2020-04-28T00:00:00"/>
    <x v="9"/>
    <x v="232"/>
    <n v="1102887"/>
    <n v="15"/>
    <n v="780"/>
    <n v="690"/>
    <n v="73525.8"/>
    <x v="4"/>
  </r>
  <r>
    <d v="2020-05-13T00:00:00"/>
    <x v="9"/>
    <x v="233"/>
    <n v="1243507.5"/>
    <n v="15"/>
    <n v="898"/>
    <n v="795"/>
    <n v="82900.5"/>
    <x v="1"/>
  </r>
  <r>
    <d v="2020-05-03T00:00:00"/>
    <x v="9"/>
    <x v="234"/>
    <n v="1120009.5"/>
    <n v="15"/>
    <n v="784"/>
    <n v="696"/>
    <n v="74667.3"/>
    <x v="4"/>
  </r>
  <r>
    <d v="2020-05-06T00:00:00"/>
    <x v="9"/>
    <x v="235"/>
    <n v="1221057"/>
    <n v="15"/>
    <n v="839"/>
    <n v="733"/>
    <n v="81403.8"/>
    <x v="3"/>
  </r>
  <r>
    <d v="2020-05-23T00:00:00"/>
    <x v="9"/>
    <x v="236"/>
    <n v="1854001.5"/>
    <n v="17"/>
    <n v="1294"/>
    <n v="1155"/>
    <n v="109058.91176470589"/>
    <x v="2"/>
  </r>
  <r>
    <d v="2020-05-25T00:00:00"/>
    <x v="9"/>
    <x v="237"/>
    <n v="1507867.5"/>
    <n v="17"/>
    <n v="1142"/>
    <n v="1020"/>
    <n v="88698.088235294112"/>
    <x v="0"/>
  </r>
  <r>
    <d v="2020-04-30T00:00:00"/>
    <x v="9"/>
    <x v="238"/>
    <n v="1103068.5"/>
    <n v="15"/>
    <n v="791"/>
    <n v="691"/>
    <n v="73537.899999999994"/>
    <x v="4"/>
  </r>
  <r>
    <d v="2020-05-10T00:00:00"/>
    <x v="9"/>
    <x v="239"/>
    <n v="1471537.5"/>
    <n v="15"/>
    <n v="950"/>
    <n v="848"/>
    <n v="98102.5"/>
    <x v="3"/>
  </r>
  <r>
    <d v="2020-05-08T00:00:00"/>
    <x v="9"/>
    <x v="240"/>
    <n v="1269786"/>
    <n v="15"/>
    <n v="879"/>
    <n v="768"/>
    <n v="84652.4"/>
    <x v="3"/>
  </r>
  <r>
    <d v="2020-05-07T00:00:00"/>
    <x v="9"/>
    <x v="241"/>
    <n v="1123894.5"/>
    <n v="15"/>
    <n v="805"/>
    <n v="703"/>
    <n v="74926.3"/>
    <x v="3"/>
  </r>
  <r>
    <d v="2020-05-24T00:00:00"/>
    <x v="9"/>
    <x v="242"/>
    <n v="1548099"/>
    <n v="17"/>
    <n v="1128"/>
    <n v="1001"/>
    <n v="91064.647058823524"/>
    <x v="2"/>
  </r>
  <r>
    <d v="2020-05-16T00:00:00"/>
    <x v="10"/>
    <x v="243"/>
    <n v="1215033"/>
    <n v="15"/>
    <n v="747"/>
    <n v="647"/>
    <n v="81002.2"/>
    <x v="1"/>
  </r>
  <r>
    <d v="2020-05-19T00:00:00"/>
    <x v="10"/>
    <x v="244"/>
    <n v="1403047.5"/>
    <n v="15"/>
    <n v="930"/>
    <n v="827"/>
    <n v="93536.5"/>
    <x v="2"/>
  </r>
  <r>
    <d v="2020-05-17T00:00:00"/>
    <x v="10"/>
    <x v="245"/>
    <n v="1060489.5"/>
    <n v="15"/>
    <n v="692"/>
    <n v="591"/>
    <n v="70699.3"/>
    <x v="1"/>
  </r>
  <r>
    <d v="2020-05-09T00:00:00"/>
    <x v="10"/>
    <x v="246"/>
    <n v="1081216.5"/>
    <n v="15"/>
    <n v="623"/>
    <n v="535"/>
    <n v="72081.100000000006"/>
    <x v="3"/>
  </r>
  <r>
    <d v="2020-05-04T00:00:00"/>
    <x v="10"/>
    <x v="247"/>
    <n v="610855.5"/>
    <n v="15"/>
    <n v="390"/>
    <n v="315"/>
    <n v="40723.699999999997"/>
    <x v="3"/>
  </r>
  <r>
    <d v="2020-04-29T00:00:00"/>
    <x v="11"/>
    <x v="248"/>
    <n v="2360914.5"/>
    <n v="18"/>
    <n v="1599"/>
    <n v="1450"/>
    <n v="131161.91666666666"/>
    <x v="4"/>
  </r>
  <r>
    <d v="2020-05-02T00:00:00"/>
    <x v="10"/>
    <x v="249"/>
    <n v="433243.5"/>
    <n v="15"/>
    <n v="274"/>
    <n v="203"/>
    <n v="28882.9"/>
    <x v="4"/>
  </r>
  <r>
    <d v="2020-05-26T00:00:00"/>
    <x v="10"/>
    <x v="250"/>
    <n v="1152054"/>
    <n v="15"/>
    <n v="812"/>
    <n v="711"/>
    <n v="76803.600000000006"/>
    <x v="0"/>
  </r>
  <r>
    <d v="2020-05-01T00:00:00"/>
    <x v="10"/>
    <x v="251"/>
    <n v="505572"/>
    <n v="15"/>
    <n v="294"/>
    <n v="225"/>
    <n v="33704.800000000003"/>
    <x v="4"/>
  </r>
  <r>
    <d v="2020-05-12T00:00:00"/>
    <x v="10"/>
    <x v="252"/>
    <n v="989632.5"/>
    <n v="15"/>
    <n v="624"/>
    <n v="538"/>
    <n v="65975.5"/>
    <x v="1"/>
  </r>
  <r>
    <d v="2020-05-21T00:00:00"/>
    <x v="10"/>
    <x v="253"/>
    <n v="1103623.5"/>
    <n v="15"/>
    <n v="749"/>
    <n v="652"/>
    <n v="73574.899999999994"/>
    <x v="2"/>
  </r>
  <r>
    <d v="2020-05-20T00:00:00"/>
    <x v="10"/>
    <x v="254"/>
    <n v="1104858"/>
    <n v="15"/>
    <n v="760"/>
    <n v="664"/>
    <n v="73657.2"/>
    <x v="2"/>
  </r>
  <r>
    <d v="2020-05-05T00:00:00"/>
    <x v="10"/>
    <x v="255"/>
    <n v="694593"/>
    <n v="15"/>
    <n v="455"/>
    <n v="381"/>
    <n v="46306.2"/>
    <x v="3"/>
  </r>
  <r>
    <d v="2020-04-28T00:00:00"/>
    <x v="11"/>
    <x v="256"/>
    <n v="2277072"/>
    <n v="18"/>
    <n v="1505"/>
    <n v="1368"/>
    <n v="126504"/>
    <x v="4"/>
  </r>
  <r>
    <d v="2020-05-13T00:00:00"/>
    <x v="10"/>
    <x v="257"/>
    <n v="949912.5"/>
    <n v="15"/>
    <n v="599"/>
    <n v="515"/>
    <n v="63327.5"/>
    <x v="1"/>
  </r>
  <r>
    <d v="2020-05-31T00:00:00"/>
    <x v="9"/>
    <x v="258"/>
    <n v="1592119.5"/>
    <n v="17"/>
    <n v="1186"/>
    <n v="1054"/>
    <n v="93654.088235294112"/>
    <x v="0"/>
  </r>
  <r>
    <d v="2020-05-03T00:00:00"/>
    <x v="10"/>
    <x v="259"/>
    <n v="665302.5"/>
    <n v="15"/>
    <n v="455"/>
    <n v="384"/>
    <n v="44353.5"/>
    <x v="4"/>
  </r>
  <r>
    <d v="2020-05-30T00:00:00"/>
    <x v="9"/>
    <x v="260"/>
    <n v="2457252"/>
    <n v="17"/>
    <n v="1697"/>
    <n v="1499"/>
    <n v="144544.23529411765"/>
    <x v="0"/>
  </r>
  <r>
    <d v="2020-05-06T00:00:00"/>
    <x v="10"/>
    <x v="261"/>
    <n v="739291.5"/>
    <n v="15"/>
    <n v="467"/>
    <n v="389"/>
    <n v="49286.1"/>
    <x v="3"/>
  </r>
  <r>
    <d v="2020-05-23T00:00:00"/>
    <x v="10"/>
    <x v="262"/>
    <n v="1315075.5"/>
    <n v="15"/>
    <n v="840"/>
    <n v="725"/>
    <n v="87671.7"/>
    <x v="2"/>
  </r>
  <r>
    <d v="2020-05-28T00:00:00"/>
    <x v="9"/>
    <x v="263"/>
    <n v="1487928"/>
    <n v="17"/>
    <n v="1097"/>
    <n v="968"/>
    <n v="87525.176470588238"/>
    <x v="0"/>
  </r>
  <r>
    <d v="2020-05-25T00:00:00"/>
    <x v="10"/>
    <x v="264"/>
    <n v="1230687"/>
    <n v="15"/>
    <n v="835"/>
    <n v="736"/>
    <n v="82045.8"/>
    <x v="0"/>
  </r>
  <r>
    <d v="2020-04-30T00:00:00"/>
    <x v="10"/>
    <x v="265"/>
    <n v="404691"/>
    <n v="15"/>
    <n v="262"/>
    <n v="195"/>
    <n v="26979.4"/>
    <x v="4"/>
  </r>
  <r>
    <d v="2020-05-10T00:00:00"/>
    <x v="10"/>
    <x v="266"/>
    <n v="1198285.5"/>
    <n v="15"/>
    <n v="706"/>
    <n v="608"/>
    <n v="79885.7"/>
    <x v="3"/>
  </r>
  <r>
    <d v="2020-05-08T00:00:00"/>
    <x v="10"/>
    <x v="267"/>
    <n v="798759"/>
    <n v="15"/>
    <n v="492"/>
    <n v="412"/>
    <n v="53250.6"/>
    <x v="3"/>
  </r>
  <r>
    <d v="2020-05-07T00:00:00"/>
    <x v="10"/>
    <x v="268"/>
    <n v="769276.5"/>
    <n v="15"/>
    <n v="480"/>
    <n v="398"/>
    <n v="51285.1"/>
    <x v="3"/>
  </r>
  <r>
    <d v="2020-05-24T00:00:00"/>
    <x v="10"/>
    <x v="269"/>
    <n v="1184865"/>
    <n v="15"/>
    <n v="779"/>
    <n v="673"/>
    <n v="78991"/>
    <x v="2"/>
  </r>
  <r>
    <d v="2020-05-16T00:00:00"/>
    <x v="11"/>
    <x v="270"/>
    <n v="2922883.5"/>
    <n v="19"/>
    <n v="2039"/>
    <n v="1868"/>
    <n v="153835.97368421053"/>
    <x v="1"/>
  </r>
  <r>
    <d v="2020-05-19T00:00:00"/>
    <x v="11"/>
    <x v="271"/>
    <n v="2446530"/>
    <n v="19"/>
    <n v="1831"/>
    <n v="1667"/>
    <n v="128764.73684210527"/>
    <x v="2"/>
  </r>
  <r>
    <d v="2020-05-17T00:00:00"/>
    <x v="11"/>
    <x v="272"/>
    <n v="2435632.5"/>
    <n v="19"/>
    <n v="1790"/>
    <n v="1633"/>
    <n v="128191.18421052632"/>
    <x v="1"/>
  </r>
  <r>
    <d v="2020-05-09T00:00:00"/>
    <x v="11"/>
    <x v="273"/>
    <n v="2384937"/>
    <n v="19"/>
    <n v="1542"/>
    <n v="1412"/>
    <n v="125523"/>
    <x v="3"/>
  </r>
  <r>
    <d v="2020-05-04T00:00:00"/>
    <x v="11"/>
    <x v="274"/>
    <n v="2155668"/>
    <n v="19"/>
    <n v="1479"/>
    <n v="1346"/>
    <n v="113456.21052631579"/>
    <x v="3"/>
  </r>
  <r>
    <d v="2020-05-02T00:00:00"/>
    <x v="11"/>
    <x v="275"/>
    <n v="1682851.5"/>
    <n v="19"/>
    <n v="1206"/>
    <n v="1080"/>
    <n v="88571.131578947374"/>
    <x v="4"/>
  </r>
  <r>
    <d v="2020-05-26T00:00:00"/>
    <x v="11"/>
    <x v="276"/>
    <n v="2410803"/>
    <n v="20"/>
    <n v="1814"/>
    <n v="1655"/>
    <n v="120540.15"/>
    <x v="0"/>
  </r>
  <r>
    <d v="2020-05-01T00:00:00"/>
    <x v="11"/>
    <x v="277"/>
    <n v="3168510"/>
    <n v="19"/>
    <n v="1987"/>
    <n v="1791"/>
    <n v="166763.68421052632"/>
    <x v="4"/>
  </r>
  <r>
    <d v="2020-05-12T00:00:00"/>
    <x v="11"/>
    <x v="278"/>
    <n v="2243160"/>
    <n v="19"/>
    <n v="1598"/>
    <n v="1454"/>
    <n v="118061.05263157895"/>
    <x v="1"/>
  </r>
  <r>
    <d v="2020-05-21T00:00:00"/>
    <x v="11"/>
    <x v="279"/>
    <n v="2198935.5"/>
    <n v="19"/>
    <n v="1650"/>
    <n v="1505"/>
    <n v="115733.44736842105"/>
    <x v="2"/>
  </r>
  <r>
    <d v="2020-05-20T00:00:00"/>
    <x v="11"/>
    <x v="280"/>
    <n v="2520759"/>
    <n v="19"/>
    <n v="1823"/>
    <n v="1678"/>
    <n v="132671.52631578947"/>
    <x v="2"/>
  </r>
  <r>
    <d v="2020-05-05T00:00:00"/>
    <x v="11"/>
    <x v="281"/>
    <n v="2380333.5"/>
    <n v="19"/>
    <n v="1622"/>
    <n v="1482"/>
    <n v="125280.71052631579"/>
    <x v="3"/>
  </r>
  <r>
    <d v="2020-05-13T00:00:00"/>
    <x v="11"/>
    <x v="282"/>
    <n v="2263651.5"/>
    <n v="19"/>
    <n v="1605"/>
    <n v="1447"/>
    <n v="119139.55263157895"/>
    <x v="1"/>
  </r>
  <r>
    <d v="2020-05-31T00:00:00"/>
    <x v="10"/>
    <x v="283"/>
    <n v="1336789.5"/>
    <n v="16"/>
    <n v="917"/>
    <n v="802"/>
    <n v="83549.34375"/>
    <x v="0"/>
  </r>
  <r>
    <d v="2020-05-03T00:00:00"/>
    <x v="11"/>
    <x v="284"/>
    <n v="1906557"/>
    <n v="19"/>
    <n v="1314"/>
    <n v="1192"/>
    <n v="100345.10526315789"/>
    <x v="4"/>
  </r>
  <r>
    <d v="2020-05-30T00:00:00"/>
    <x v="10"/>
    <x v="285"/>
    <n v="1609090.5"/>
    <n v="16"/>
    <n v="1048"/>
    <n v="918"/>
    <n v="100568.15625"/>
    <x v="0"/>
  </r>
  <r>
    <d v="2020-05-06T00:00:00"/>
    <x v="11"/>
    <x v="286"/>
    <n v="2159350.5"/>
    <n v="19"/>
    <n v="1509"/>
    <n v="1374"/>
    <n v="113650.02631578948"/>
    <x v="3"/>
  </r>
  <r>
    <d v="2020-05-23T00:00:00"/>
    <x v="11"/>
    <x v="287"/>
    <n v="3089140.5"/>
    <n v="19"/>
    <n v="2195"/>
    <n v="1999"/>
    <n v="162586.34210526315"/>
    <x v="2"/>
  </r>
  <r>
    <d v="2020-05-28T00:00:00"/>
    <x v="10"/>
    <x v="288"/>
    <n v="1239747"/>
    <n v="16"/>
    <n v="876"/>
    <n v="762"/>
    <n v="77484.1875"/>
    <x v="0"/>
  </r>
  <r>
    <d v="2020-05-25T00:00:00"/>
    <x v="11"/>
    <x v="289"/>
    <n v="2512803"/>
    <n v="20"/>
    <n v="1899"/>
    <n v="1738"/>
    <n v="125640.15"/>
    <x v="0"/>
  </r>
  <r>
    <d v="2020-04-30T00:00:00"/>
    <x v="11"/>
    <x v="290"/>
    <n v="2560080"/>
    <n v="19"/>
    <n v="1662"/>
    <n v="1506"/>
    <n v="134741.05263157896"/>
    <x v="4"/>
  </r>
  <r>
    <d v="2020-05-10T00:00:00"/>
    <x v="11"/>
    <x v="291"/>
    <n v="2767270.5"/>
    <n v="19"/>
    <n v="1836"/>
    <n v="1680"/>
    <n v="145645.81578947368"/>
    <x v="3"/>
  </r>
  <r>
    <d v="2020-05-08T00:00:00"/>
    <x v="11"/>
    <x v="292"/>
    <n v="2235960"/>
    <n v="19"/>
    <n v="1520"/>
    <n v="1380"/>
    <n v="117682.10526315789"/>
    <x v="3"/>
  </r>
  <r>
    <d v="2020-05-07T00:00:00"/>
    <x v="11"/>
    <x v="293"/>
    <n v="2308336.5"/>
    <n v="19"/>
    <n v="1580"/>
    <n v="1435"/>
    <n v="121491.39473684211"/>
    <x v="3"/>
  </r>
  <r>
    <d v="2020-05-24T00:00:00"/>
    <x v="11"/>
    <x v="294"/>
    <n v="2526909"/>
    <n v="19"/>
    <n v="1868"/>
    <n v="1706"/>
    <n v="132995.21052631579"/>
    <x v="2"/>
  </r>
  <r>
    <d v="2020-04-29T00:00:00"/>
    <x v="12"/>
    <x v="295"/>
    <n v="21615333"/>
    <n v="59"/>
    <n v="13186"/>
    <n v="12251"/>
    <n v="366361.57627118647"/>
    <x v="4"/>
  </r>
  <r>
    <d v="2020-04-28T00:00:00"/>
    <x v="12"/>
    <x v="296"/>
    <n v="21114898.5"/>
    <n v="59"/>
    <n v="12943"/>
    <n v="12072"/>
    <n v="357879.63559322036"/>
    <x v="4"/>
  </r>
  <r>
    <d v="2020-05-31T00:00:00"/>
    <x v="11"/>
    <x v="297"/>
    <n v="2794324.5"/>
    <n v="21"/>
    <n v="2056"/>
    <n v="1879"/>
    <n v="133063.07142857142"/>
    <x v="0"/>
  </r>
  <r>
    <d v="2020-05-30T00:00:00"/>
    <x v="11"/>
    <x v="298"/>
    <n v="3005334"/>
    <n v="20"/>
    <n v="2174"/>
    <n v="1957"/>
    <n v="150266.70000000001"/>
    <x v="0"/>
  </r>
  <r>
    <d v="2020-05-28T00:00:00"/>
    <x v="11"/>
    <x v="299"/>
    <n v="2559211.5"/>
    <n v="20"/>
    <n v="1875"/>
    <n v="1701"/>
    <n v="127960.575"/>
    <x v="0"/>
  </r>
  <r>
    <d v="2020-05-16T00:00:00"/>
    <x v="12"/>
    <x v="300"/>
    <n v="23689383"/>
    <n v="60"/>
    <n v="14049"/>
    <n v="13118"/>
    <n v="394823.05"/>
    <x v="1"/>
  </r>
  <r>
    <d v="2020-05-19T00:00:00"/>
    <x v="12"/>
    <x v="301"/>
    <n v="21945858"/>
    <n v="60"/>
    <n v="13867"/>
    <n v="12987"/>
    <n v="365764.3"/>
    <x v="2"/>
  </r>
  <r>
    <d v="2020-05-17T00:00:00"/>
    <x v="12"/>
    <x v="302"/>
    <n v="19546386"/>
    <n v="60"/>
    <n v="11698"/>
    <n v="10989"/>
    <n v="325773.09999999998"/>
    <x v="1"/>
  </r>
  <r>
    <d v="2020-05-09T00:00:00"/>
    <x v="12"/>
    <x v="303"/>
    <n v="19218631.5"/>
    <n v="59"/>
    <n v="12016"/>
    <n v="11137"/>
    <n v="325739.51694915252"/>
    <x v="3"/>
  </r>
  <r>
    <d v="2020-05-04T00:00:00"/>
    <x v="12"/>
    <x v="304"/>
    <n v="24292218"/>
    <n v="59"/>
    <n v="14423"/>
    <n v="13432"/>
    <n v="411732.50847457629"/>
    <x v="3"/>
  </r>
  <r>
    <d v="2020-04-29T00:00:00"/>
    <x v="13"/>
    <x v="305"/>
    <n v="20871391.5"/>
    <n v="54"/>
    <n v="12747"/>
    <n v="11884"/>
    <n v="386507.25"/>
    <x v="4"/>
  </r>
  <r>
    <d v="2020-05-02T00:00:00"/>
    <x v="12"/>
    <x v="306"/>
    <n v="19625364"/>
    <n v="59"/>
    <n v="12429"/>
    <n v="11477"/>
    <n v="332633.28813559323"/>
    <x v="4"/>
  </r>
  <r>
    <d v="2020-05-26T00:00:00"/>
    <x v="12"/>
    <x v="307"/>
    <n v="25163431.5"/>
    <n v="59"/>
    <n v="15369"/>
    <n v="14299"/>
    <n v="426498.83898305084"/>
    <x v="0"/>
  </r>
  <r>
    <d v="2020-05-01T00:00:00"/>
    <x v="12"/>
    <x v="308"/>
    <n v="25413351"/>
    <n v="59"/>
    <n v="15222"/>
    <n v="13873"/>
    <n v="430734.76271186443"/>
    <x v="4"/>
  </r>
  <r>
    <d v="2020-05-12T00:00:00"/>
    <x v="12"/>
    <x v="309"/>
    <n v="19205179.5"/>
    <n v="60"/>
    <n v="12000"/>
    <n v="11194"/>
    <n v="320086.32500000001"/>
    <x v="1"/>
  </r>
  <r>
    <d v="2020-05-21T00:00:00"/>
    <x v="12"/>
    <x v="310"/>
    <n v="22253295"/>
    <n v="60"/>
    <n v="14005"/>
    <n v="13002"/>
    <n v="370888.25"/>
    <x v="2"/>
  </r>
  <r>
    <d v="2020-05-20T00:00:00"/>
    <x v="12"/>
    <x v="311"/>
    <n v="21959286"/>
    <n v="60"/>
    <n v="13792"/>
    <n v="12834"/>
    <n v="365988.1"/>
    <x v="2"/>
  </r>
  <r>
    <d v="2020-05-05T00:00:00"/>
    <x v="12"/>
    <x v="312"/>
    <n v="21919435.5"/>
    <n v="59"/>
    <n v="13469"/>
    <n v="12486"/>
    <n v="371515.85593220341"/>
    <x v="3"/>
  </r>
  <r>
    <d v="2020-04-28T00:00:00"/>
    <x v="13"/>
    <x v="313"/>
    <n v="20003263.5"/>
    <n v="54"/>
    <n v="12306"/>
    <n v="11532"/>
    <n v="370430.80555555556"/>
    <x v="4"/>
  </r>
  <r>
    <d v="2020-05-13T00:00:00"/>
    <x v="12"/>
    <x v="314"/>
    <n v="19437273"/>
    <n v="60"/>
    <n v="12007"/>
    <n v="11245"/>
    <n v="323954.55"/>
    <x v="1"/>
  </r>
  <r>
    <d v="2020-05-03T00:00:00"/>
    <x v="12"/>
    <x v="315"/>
    <n v="26492278.5"/>
    <n v="59"/>
    <n v="15277"/>
    <n v="14163"/>
    <n v="449021.66949152545"/>
    <x v="4"/>
  </r>
  <r>
    <d v="2020-05-06T00:00:00"/>
    <x v="12"/>
    <x v="316"/>
    <n v="23032992"/>
    <n v="59"/>
    <n v="14103"/>
    <n v="13118"/>
    <n v="390389.69491525425"/>
    <x v="3"/>
  </r>
  <r>
    <d v="2020-05-23T00:00:00"/>
    <x v="12"/>
    <x v="317"/>
    <n v="28590910.5"/>
    <n v="60"/>
    <n v="17295"/>
    <n v="16010"/>
    <n v="476515.17499999999"/>
    <x v="2"/>
  </r>
  <r>
    <d v="2020-05-25T00:00:00"/>
    <x v="12"/>
    <x v="318"/>
    <n v="20582743.5"/>
    <n v="59"/>
    <n v="12983"/>
    <n v="12056"/>
    <n v="348860.05932203389"/>
    <x v="0"/>
  </r>
  <r>
    <d v="2020-04-30T00:00:00"/>
    <x v="12"/>
    <x v="319"/>
    <n v="22530000"/>
    <n v="59"/>
    <n v="13251"/>
    <n v="12255"/>
    <n v="381864.40677966102"/>
    <x v="4"/>
  </r>
  <r>
    <d v="2020-05-10T00:00:00"/>
    <x v="12"/>
    <x v="320"/>
    <n v="24890404.5"/>
    <n v="59"/>
    <n v="14569"/>
    <n v="13566"/>
    <n v="421871.26271186443"/>
    <x v="3"/>
  </r>
  <r>
    <d v="2020-05-08T00:00:00"/>
    <x v="12"/>
    <x v="321"/>
    <n v="23881948.5"/>
    <n v="59"/>
    <n v="14098"/>
    <n v="13106"/>
    <n v="404778.78813559323"/>
    <x v="3"/>
  </r>
  <r>
    <d v="2020-05-07T00:00:00"/>
    <x v="12"/>
    <x v="322"/>
    <n v="22460130"/>
    <n v="59"/>
    <n v="13495"/>
    <n v="12517"/>
    <n v="380680.16949152545"/>
    <x v="3"/>
  </r>
  <r>
    <d v="2020-05-24T00:00:00"/>
    <x v="12"/>
    <x v="323"/>
    <n v="19959801"/>
    <n v="60"/>
    <n v="12822"/>
    <n v="11916"/>
    <n v="332663.34999999998"/>
    <x v="2"/>
  </r>
  <r>
    <d v="2020-05-16T00:00:00"/>
    <x v="13"/>
    <x v="324"/>
    <n v="22355338.5"/>
    <n v="54"/>
    <n v="13170"/>
    <n v="12299"/>
    <n v="413987.75"/>
    <x v="1"/>
  </r>
  <r>
    <d v="2020-05-19T00:00:00"/>
    <x v="13"/>
    <x v="325"/>
    <n v="20590072.5"/>
    <n v="54"/>
    <n v="13070"/>
    <n v="12244"/>
    <n v="381297.63888888888"/>
    <x v="2"/>
  </r>
  <r>
    <d v="2020-05-17T00:00:00"/>
    <x v="13"/>
    <x v="326"/>
    <n v="18449091"/>
    <n v="54"/>
    <n v="11128"/>
    <n v="10467"/>
    <n v="341649.83333333331"/>
    <x v="1"/>
  </r>
  <r>
    <d v="2020-05-09T00:00:00"/>
    <x v="13"/>
    <x v="327"/>
    <n v="18085798.5"/>
    <n v="54"/>
    <n v="11288"/>
    <n v="10492"/>
    <n v="334922.19444444444"/>
    <x v="3"/>
  </r>
  <r>
    <d v="2020-05-04T00:00:00"/>
    <x v="13"/>
    <x v="328"/>
    <n v="22796827.5"/>
    <n v="54"/>
    <n v="13606"/>
    <n v="12697"/>
    <n v="422163.47222222225"/>
    <x v="3"/>
  </r>
  <r>
    <d v="2020-05-02T00:00:00"/>
    <x v="13"/>
    <x v="329"/>
    <n v="18625921.5"/>
    <n v="54"/>
    <n v="11622"/>
    <n v="10754"/>
    <n v="344924.47222222225"/>
    <x v="4"/>
  </r>
  <r>
    <d v="2020-05-26T00:00:00"/>
    <x v="13"/>
    <x v="330"/>
    <n v="23856345"/>
    <n v="54"/>
    <n v="14482"/>
    <n v="13510"/>
    <n v="441784.16666666669"/>
    <x v="0"/>
  </r>
  <r>
    <d v="2020-05-01T00:00:00"/>
    <x v="13"/>
    <x v="331"/>
    <n v="23953536"/>
    <n v="54"/>
    <n v="14205"/>
    <n v="13026"/>
    <n v="443584"/>
    <x v="4"/>
  </r>
  <r>
    <d v="2020-05-12T00:00:00"/>
    <x v="13"/>
    <x v="332"/>
    <n v="18718036.5"/>
    <n v="54"/>
    <n v="11614"/>
    <n v="10862"/>
    <n v="346630.30555555556"/>
    <x v="1"/>
  </r>
  <r>
    <d v="2020-05-21T00:00:00"/>
    <x v="13"/>
    <x v="333"/>
    <n v="21042673.5"/>
    <n v="54"/>
    <n v="13240"/>
    <n v="12360"/>
    <n v="389679.13888888888"/>
    <x v="2"/>
  </r>
  <r>
    <d v="2020-05-20T00:00:00"/>
    <x v="13"/>
    <x v="334"/>
    <n v="21411349.5"/>
    <n v="54"/>
    <n v="13298"/>
    <n v="12428"/>
    <n v="396506.47222222225"/>
    <x v="2"/>
  </r>
  <r>
    <d v="2020-05-05T00:00:00"/>
    <x v="13"/>
    <x v="335"/>
    <n v="20880142.5"/>
    <n v="54"/>
    <n v="12775"/>
    <n v="11887"/>
    <n v="386669.30555555556"/>
    <x v="3"/>
  </r>
  <r>
    <d v="2020-05-13T00:00:00"/>
    <x v="13"/>
    <x v="336"/>
    <n v="18784000.5"/>
    <n v="54"/>
    <n v="11522"/>
    <n v="10803"/>
    <n v="347851.86111111112"/>
    <x v="1"/>
  </r>
  <r>
    <d v="2020-05-31T00:00:00"/>
    <x v="12"/>
    <x v="337"/>
    <n v="21585316.5"/>
    <n v="59"/>
    <n v="13684"/>
    <n v="12690"/>
    <n v="365852.82203389832"/>
    <x v="0"/>
  </r>
  <r>
    <d v="2020-05-03T00:00:00"/>
    <x v="13"/>
    <x v="338"/>
    <n v="25519072.5"/>
    <n v="54"/>
    <n v="14823"/>
    <n v="13751"/>
    <n v="472575.41666666669"/>
    <x v="4"/>
  </r>
  <r>
    <d v="2020-05-30T00:00:00"/>
    <x v="12"/>
    <x v="339"/>
    <n v="24527245.5"/>
    <n v="59"/>
    <n v="15030"/>
    <n v="13956"/>
    <n v="415716.0254237288"/>
    <x v="0"/>
  </r>
  <r>
    <d v="2020-05-06T00:00:00"/>
    <x v="13"/>
    <x v="340"/>
    <n v="22126444.5"/>
    <n v="54"/>
    <n v="13406"/>
    <n v="12518"/>
    <n v="409748.97222222225"/>
    <x v="3"/>
  </r>
  <r>
    <d v="2020-05-23T00:00:00"/>
    <x v="13"/>
    <x v="341"/>
    <n v="26806626"/>
    <n v="54"/>
    <n v="16221"/>
    <n v="15065"/>
    <n v="496419"/>
    <x v="2"/>
  </r>
  <r>
    <d v="2020-05-28T00:00:00"/>
    <x v="12"/>
    <x v="342"/>
    <n v="20535733.5"/>
    <n v="60"/>
    <n v="12854"/>
    <n v="11954"/>
    <n v="342262.22499999998"/>
    <x v="0"/>
  </r>
  <r>
    <d v="2020-05-25T00:00:00"/>
    <x v="13"/>
    <x v="343"/>
    <n v="19806927"/>
    <n v="54"/>
    <n v="12336"/>
    <n v="11519"/>
    <n v="366794.94444444444"/>
    <x v="0"/>
  </r>
  <r>
    <d v="2020-04-30T00:00:00"/>
    <x v="13"/>
    <x v="344"/>
    <n v="21740460"/>
    <n v="54"/>
    <n v="12817"/>
    <n v="11865"/>
    <n v="402601.11111111112"/>
    <x v="4"/>
  </r>
  <r>
    <d v="2020-05-10T00:00:00"/>
    <x v="13"/>
    <x v="345"/>
    <n v="23443725"/>
    <n v="54"/>
    <n v="13832"/>
    <n v="12864"/>
    <n v="434143.05555555556"/>
    <x v="3"/>
  </r>
  <r>
    <d v="2020-05-08T00:00:00"/>
    <x v="13"/>
    <x v="346"/>
    <n v="22846078.5"/>
    <n v="54"/>
    <n v="13563"/>
    <n v="12604"/>
    <n v="423075.52777777775"/>
    <x v="3"/>
  </r>
  <r>
    <d v="2020-05-07T00:00:00"/>
    <x v="13"/>
    <x v="347"/>
    <n v="21463023"/>
    <n v="54"/>
    <n v="12743"/>
    <n v="11858"/>
    <n v="397463.38888888888"/>
    <x v="3"/>
  </r>
  <r>
    <d v="2020-05-24T00:00:00"/>
    <x v="13"/>
    <x v="348"/>
    <n v="19071117"/>
    <n v="54"/>
    <n v="12211"/>
    <n v="11427"/>
    <n v="353168.83333333331"/>
    <x v="2"/>
  </r>
  <r>
    <d v="2020-04-29T00:00:00"/>
    <x v="14"/>
    <x v="349"/>
    <n v="981519"/>
    <n v="15"/>
    <n v="659"/>
    <n v="575"/>
    <n v="65434.6"/>
    <x v="4"/>
  </r>
  <r>
    <d v="2020-04-28T00:00:00"/>
    <x v="14"/>
    <x v="350"/>
    <n v="992541"/>
    <n v="15"/>
    <n v="636"/>
    <n v="547"/>
    <n v="66169.399999999994"/>
    <x v="4"/>
  </r>
  <r>
    <d v="2020-05-31T00:00:00"/>
    <x v="13"/>
    <x v="351"/>
    <n v="20717248.5"/>
    <n v="54"/>
    <n v="13106"/>
    <n v="12164"/>
    <n v="383652.75"/>
    <x v="0"/>
  </r>
  <r>
    <d v="2020-05-30T00:00:00"/>
    <x v="13"/>
    <x v="352"/>
    <n v="24151980"/>
    <n v="54"/>
    <n v="14590"/>
    <n v="13551"/>
    <n v="447258.88888888888"/>
    <x v="0"/>
  </r>
  <r>
    <d v="2020-05-28T00:00:00"/>
    <x v="13"/>
    <x v="353"/>
    <n v="19549036.5"/>
    <n v="54"/>
    <n v="12409"/>
    <n v="11582"/>
    <n v="362019.19444444444"/>
    <x v="0"/>
  </r>
  <r>
    <d v="2020-05-16T00:00:00"/>
    <x v="14"/>
    <x v="354"/>
    <n v="1316350.5"/>
    <n v="16"/>
    <n v="920"/>
    <n v="818"/>
    <n v="82271.90625"/>
    <x v="1"/>
  </r>
  <r>
    <d v="2020-05-19T00:00:00"/>
    <x v="14"/>
    <x v="355"/>
    <n v="1126810.5"/>
    <n v="17"/>
    <n v="857"/>
    <n v="757"/>
    <n v="66282.970588235301"/>
    <x v="2"/>
  </r>
  <r>
    <d v="2020-05-17T00:00:00"/>
    <x v="14"/>
    <x v="266"/>
    <n v="1157529"/>
    <n v="16"/>
    <n v="859"/>
    <n v="746"/>
    <n v="72345.5625"/>
    <x v="1"/>
  </r>
  <r>
    <d v="2020-05-09T00:00:00"/>
    <x v="14"/>
    <x v="356"/>
    <n v="955801.5"/>
    <n v="15"/>
    <n v="654"/>
    <n v="570"/>
    <n v="63720.1"/>
    <x v="3"/>
  </r>
  <r>
    <d v="2020-05-04T00:00:00"/>
    <x v="14"/>
    <x v="357"/>
    <n v="906343.5"/>
    <n v="15"/>
    <n v="622"/>
    <n v="538"/>
    <n v="60422.9"/>
    <x v="3"/>
  </r>
  <r>
    <d v="2020-05-02T00:00:00"/>
    <x v="14"/>
    <x v="358"/>
    <n v="816859.5"/>
    <n v="15"/>
    <n v="567"/>
    <n v="493"/>
    <n v="54457.3"/>
    <x v="4"/>
  </r>
  <r>
    <d v="2020-05-26T00:00:00"/>
    <x v="15"/>
    <x v="359"/>
    <n v="833815.5"/>
    <n v="7"/>
    <n v="577"/>
    <n v="389"/>
    <n v="119116.5"/>
    <x v="0"/>
  </r>
  <r>
    <d v="2020-05-01T00:00:00"/>
    <x v="14"/>
    <x v="360"/>
    <n v="1134444"/>
    <n v="15"/>
    <n v="721"/>
    <n v="625"/>
    <n v="75629.600000000006"/>
    <x v="4"/>
  </r>
  <r>
    <d v="2020-05-12T00:00:00"/>
    <x v="14"/>
    <x v="361"/>
    <n v="1092277.5"/>
    <n v="15"/>
    <n v="750"/>
    <n v="659"/>
    <n v="72818.5"/>
    <x v="1"/>
  </r>
  <r>
    <d v="2020-05-21T00:00:00"/>
    <x v="14"/>
    <x v="362"/>
    <n v="1172574"/>
    <n v="18"/>
    <n v="888"/>
    <n v="786"/>
    <n v="65143"/>
    <x v="2"/>
  </r>
  <r>
    <d v="2020-05-20T00:00:00"/>
    <x v="14"/>
    <x v="363"/>
    <n v="1217749.5"/>
    <n v="17"/>
    <n v="890"/>
    <n v="794"/>
    <n v="71632.323529411762"/>
    <x v="2"/>
  </r>
  <r>
    <d v="2020-05-05T00:00:00"/>
    <x v="14"/>
    <x v="364"/>
    <n v="1145575.5"/>
    <n v="15"/>
    <n v="750"/>
    <n v="658"/>
    <n v="76371.7"/>
    <x v="3"/>
  </r>
  <r>
    <d v="2020-05-13T00:00:00"/>
    <x v="14"/>
    <x v="365"/>
    <n v="1172691"/>
    <n v="15"/>
    <n v="854"/>
    <n v="756"/>
    <n v="78179.399999999994"/>
    <x v="1"/>
  </r>
  <r>
    <d v="2020-05-03T00:00:00"/>
    <x v="14"/>
    <x v="366"/>
    <n v="816150"/>
    <n v="15"/>
    <n v="585"/>
    <n v="502"/>
    <n v="54410"/>
    <x v="4"/>
  </r>
  <r>
    <d v="2020-05-06T00:00:00"/>
    <x v="14"/>
    <x v="367"/>
    <n v="1016566.5"/>
    <n v="15"/>
    <n v="701"/>
    <n v="611"/>
    <n v="67771.100000000006"/>
    <x v="3"/>
  </r>
  <r>
    <d v="2020-05-23T00:00:00"/>
    <x v="14"/>
    <x v="368"/>
    <n v="1457391"/>
    <n v="18"/>
    <n v="1031"/>
    <n v="918"/>
    <n v="80966.166666666672"/>
    <x v="2"/>
  </r>
  <r>
    <d v="2020-05-25T00:00:00"/>
    <x v="14"/>
    <x v="369"/>
    <n v="1326705"/>
    <n v="18"/>
    <n v="989"/>
    <n v="887"/>
    <n v="73705.833333333328"/>
    <x v="0"/>
  </r>
  <r>
    <d v="2020-04-30T00:00:00"/>
    <x v="14"/>
    <x v="370"/>
    <n v="1004511"/>
    <n v="15"/>
    <n v="644"/>
    <n v="550"/>
    <n v="66967.399999999994"/>
    <x v="4"/>
  </r>
  <r>
    <d v="2020-05-10T00:00:00"/>
    <x v="14"/>
    <x v="371"/>
    <n v="1216557"/>
    <n v="15"/>
    <n v="792"/>
    <n v="695"/>
    <n v="81103.8"/>
    <x v="3"/>
  </r>
  <r>
    <d v="2020-05-08T00:00:00"/>
    <x v="14"/>
    <x v="372"/>
    <n v="1046848.5"/>
    <n v="15"/>
    <n v="703"/>
    <n v="609"/>
    <n v="69789.899999999994"/>
    <x v="3"/>
  </r>
  <r>
    <d v="2020-05-07T00:00:00"/>
    <x v="14"/>
    <x v="373"/>
    <n v="965880"/>
    <n v="15"/>
    <n v="676"/>
    <n v="591"/>
    <n v="64392"/>
    <x v="3"/>
  </r>
  <r>
    <d v="2020-05-24T00:00:00"/>
    <x v="14"/>
    <x v="374"/>
    <n v="1386262.5"/>
    <n v="18"/>
    <n v="1006"/>
    <n v="904"/>
    <n v="77014.583333333328"/>
    <x v="2"/>
  </r>
  <r>
    <d v="2020-05-26T00:00:00"/>
    <x v="14"/>
    <x v="375"/>
    <n v="1210456.5"/>
    <n v="18"/>
    <n v="914"/>
    <n v="804"/>
    <n v="67247.583333333328"/>
    <x v="0"/>
  </r>
  <r>
    <d v="2020-06-01T00:00:00"/>
    <x v="0"/>
    <x v="376"/>
    <n v="636345"/>
    <n v="15"/>
    <n v="453"/>
    <n v="370"/>
    <n v="42423"/>
    <x v="5"/>
  </r>
  <r>
    <d v="2020-05-31T00:00:00"/>
    <x v="16"/>
    <x v="377"/>
    <n v="493893"/>
    <n v="9"/>
    <n v="345"/>
    <n v="255"/>
    <n v="54877"/>
    <x v="0"/>
  </r>
  <r>
    <d v="2020-05-30T00:00:00"/>
    <x v="15"/>
    <x v="378"/>
    <n v="928675.5"/>
    <n v="7"/>
    <n v="532"/>
    <n v="449"/>
    <n v="132667.92857142858"/>
    <x v="0"/>
  </r>
  <r>
    <d v="2020-05-29T00:00:00"/>
    <x v="0"/>
    <x v="379"/>
    <n v="651237"/>
    <n v="15"/>
    <n v="400"/>
    <n v="329"/>
    <n v="43415.8"/>
    <x v="0"/>
  </r>
  <r>
    <d v="2020-05-28T00:00:00"/>
    <x v="15"/>
    <x v="380"/>
    <n v="694669.5"/>
    <n v="7"/>
    <n v="420"/>
    <n v="347"/>
    <n v="99238.5"/>
    <x v="0"/>
  </r>
  <r>
    <d v="2020-05-27T00:00:00"/>
    <x v="1"/>
    <x v="381"/>
    <n v="3015751.5"/>
    <n v="20"/>
    <n v="2079"/>
    <n v="1893"/>
    <n v="150787.57500000001"/>
    <x v="0"/>
  </r>
  <r>
    <d v="2020-05-22T00:00:00"/>
    <x v="1"/>
    <x v="382"/>
    <n v="3091069.5"/>
    <n v="21"/>
    <n v="2046"/>
    <n v="1853"/>
    <n v="147193.78571428571"/>
    <x v="2"/>
  </r>
  <r>
    <d v="2020-05-31T00:00:00"/>
    <x v="17"/>
    <x v="383"/>
    <n v="468835.5"/>
    <n v="6"/>
    <n v="261"/>
    <n v="188"/>
    <n v="78139.25"/>
    <x v="0"/>
  </r>
  <r>
    <d v="2020-05-11T00:00:00"/>
    <x v="1"/>
    <x v="384"/>
    <n v="2479396.5"/>
    <n v="21"/>
    <n v="1597"/>
    <n v="1457"/>
    <n v="118066.5"/>
    <x v="1"/>
  </r>
  <r>
    <d v="2020-05-30T00:00:00"/>
    <x v="14"/>
    <x v="385"/>
    <n v="1773154.5"/>
    <n v="18"/>
    <n v="1216"/>
    <n v="1101"/>
    <n v="98508.583333333328"/>
    <x v="0"/>
  </r>
  <r>
    <d v="2020-05-28T00:00:00"/>
    <x v="14"/>
    <x v="386"/>
    <n v="1387443"/>
    <n v="18"/>
    <n v="1020"/>
    <n v="911"/>
    <n v="77080.166666666672"/>
    <x v="0"/>
  </r>
  <r>
    <d v="2020-05-18T00:00:00"/>
    <x v="1"/>
    <x v="387"/>
    <n v="2826379.5"/>
    <n v="21"/>
    <n v="1834"/>
    <n v="1660"/>
    <n v="134589.5"/>
    <x v="2"/>
  </r>
  <r>
    <d v="2020-05-14T00:00:00"/>
    <x v="1"/>
    <x v="388"/>
    <n v="2703132"/>
    <n v="21"/>
    <n v="1706"/>
    <n v="1548"/>
    <n v="128720.57142857143"/>
    <x v="1"/>
  </r>
  <r>
    <d v="2020-05-15T00:00:00"/>
    <x v="1"/>
    <x v="389"/>
    <n v="3038293.5"/>
    <n v="21"/>
    <n v="1926"/>
    <n v="1742"/>
    <n v="144680.64285714287"/>
    <x v="1"/>
  </r>
  <r>
    <d v="2020-06-01T00:00:00"/>
    <x v="1"/>
    <x v="390"/>
    <n v="2945035.5"/>
    <n v="21"/>
    <n v="2025"/>
    <n v="1849"/>
    <n v="140239.78571428571"/>
    <x v="5"/>
  </r>
  <r>
    <d v="2020-05-31T00:00:00"/>
    <x v="15"/>
    <x v="391"/>
    <n v="866023.5"/>
    <n v="7"/>
    <n v="530"/>
    <n v="447"/>
    <n v="123717.64285714286"/>
    <x v="0"/>
  </r>
  <r>
    <d v="2020-05-29T00:00:00"/>
    <x v="1"/>
    <x v="392"/>
    <n v="3193167"/>
    <n v="20"/>
    <n v="2111"/>
    <n v="1917"/>
    <n v="159658.35"/>
    <x v="0"/>
  </r>
  <r>
    <d v="2020-05-27T00:00:00"/>
    <x v="2"/>
    <x v="393"/>
    <n v="6701083.5"/>
    <n v="31"/>
    <n v="5330"/>
    <n v="4977"/>
    <n v="216163.98387096773"/>
    <x v="0"/>
  </r>
  <r>
    <d v="2020-05-22T00:00:00"/>
    <x v="2"/>
    <x v="394"/>
    <n v="7728465"/>
    <n v="31"/>
    <n v="5965"/>
    <n v="5533"/>
    <n v="249305.32258064515"/>
    <x v="2"/>
  </r>
  <r>
    <d v="2020-06-01T00:00:00"/>
    <x v="2"/>
    <x v="395"/>
    <n v="6829921.5"/>
    <n v="31"/>
    <n v="5468"/>
    <n v="5081"/>
    <n v="220320.04838709679"/>
    <x v="5"/>
  </r>
  <r>
    <d v="2020-05-31T00:00:00"/>
    <x v="14"/>
    <x v="396"/>
    <n v="1423410"/>
    <n v="18"/>
    <n v="1029"/>
    <n v="925"/>
    <n v="79078.333333333328"/>
    <x v="0"/>
  </r>
  <r>
    <d v="2020-05-11T00:00:00"/>
    <x v="2"/>
    <x v="397"/>
    <n v="6398719.5"/>
    <n v="31"/>
    <n v="4826"/>
    <n v="4483"/>
    <n v="206410.30645161291"/>
    <x v="1"/>
  </r>
  <r>
    <d v="2020-05-18T00:00:00"/>
    <x v="2"/>
    <x v="398"/>
    <n v="6609714"/>
    <n v="31"/>
    <n v="5165"/>
    <n v="4813"/>
    <n v="213216.5806451613"/>
    <x v="2"/>
  </r>
  <r>
    <d v="2020-05-14T00:00:00"/>
    <x v="2"/>
    <x v="399"/>
    <n v="6053649"/>
    <n v="31"/>
    <n v="4695"/>
    <n v="4372"/>
    <n v="195279"/>
    <x v="1"/>
  </r>
  <r>
    <d v="2020-05-15T00:00:00"/>
    <x v="2"/>
    <x v="400"/>
    <n v="6876454.5"/>
    <n v="31"/>
    <n v="5184"/>
    <n v="4778"/>
    <n v="221821.11290322582"/>
    <x v="1"/>
  </r>
  <r>
    <d v="2020-05-27T00:00:00"/>
    <x v="3"/>
    <x v="401"/>
    <n v="1054798.5"/>
    <n v="10"/>
    <n v="757"/>
    <n v="660"/>
    <n v="105479.85"/>
    <x v="0"/>
  </r>
  <r>
    <d v="2020-05-22T00:00:00"/>
    <x v="3"/>
    <x v="402"/>
    <n v="1455049.5"/>
    <n v="10"/>
    <n v="965"/>
    <n v="861"/>
    <n v="145504.95000000001"/>
    <x v="2"/>
  </r>
  <r>
    <d v="2020-06-01T00:00:00"/>
    <x v="3"/>
    <x v="403"/>
    <n v="1007742"/>
    <n v="10"/>
    <n v="719"/>
    <n v="627"/>
    <n v="100774.2"/>
    <x v="5"/>
  </r>
  <r>
    <d v="2020-05-11T00:00:00"/>
    <x v="3"/>
    <x v="404"/>
    <n v="734335.5"/>
    <n v="10"/>
    <n v="494"/>
    <n v="421"/>
    <n v="73433.55"/>
    <x v="1"/>
  </r>
  <r>
    <d v="2020-05-29T00:00:00"/>
    <x v="2"/>
    <x v="405"/>
    <n v="7387116"/>
    <n v="31"/>
    <n v="5751"/>
    <n v="5319"/>
    <n v="238294.06451612903"/>
    <x v="0"/>
  </r>
  <r>
    <d v="2020-05-18T00:00:00"/>
    <x v="3"/>
    <x v="406"/>
    <n v="936427.5"/>
    <n v="10"/>
    <n v="645"/>
    <n v="565"/>
    <n v="93642.75"/>
    <x v="2"/>
  </r>
  <r>
    <d v="2020-05-14T00:00:00"/>
    <x v="3"/>
    <x v="246"/>
    <n v="981564"/>
    <n v="10"/>
    <n v="627"/>
    <n v="545"/>
    <n v="98156.4"/>
    <x v="1"/>
  </r>
  <r>
    <d v="2020-05-15T00:00:00"/>
    <x v="3"/>
    <x v="407"/>
    <n v="1150579.5"/>
    <n v="10"/>
    <n v="743"/>
    <n v="652"/>
    <n v="115057.95"/>
    <x v="1"/>
  </r>
  <r>
    <d v="2020-05-29T00:00:00"/>
    <x v="3"/>
    <x v="408"/>
    <n v="1273464"/>
    <n v="10"/>
    <n v="873"/>
    <n v="770"/>
    <n v="127346.4"/>
    <x v="0"/>
  </r>
  <r>
    <d v="2020-05-27T00:00:00"/>
    <x v="4"/>
    <x v="409"/>
    <n v="2924133"/>
    <n v="20"/>
    <n v="2079"/>
    <n v="1856"/>
    <n v="146206.65"/>
    <x v="0"/>
  </r>
  <r>
    <d v="2020-05-22T00:00:00"/>
    <x v="4"/>
    <x v="410"/>
    <n v="3414180"/>
    <n v="20"/>
    <n v="2306"/>
    <n v="2054"/>
    <n v="170709"/>
    <x v="2"/>
  </r>
  <r>
    <d v="2020-06-01T00:00:00"/>
    <x v="4"/>
    <x v="411"/>
    <n v="3013512"/>
    <n v="20"/>
    <n v="2136"/>
    <n v="1899"/>
    <n v="150675.6"/>
    <x v="5"/>
  </r>
  <r>
    <d v="2020-05-11T00:00:00"/>
    <x v="4"/>
    <x v="412"/>
    <n v="3911979"/>
    <n v="19"/>
    <n v="2530"/>
    <n v="2270"/>
    <n v="205893.63157894736"/>
    <x v="1"/>
  </r>
  <r>
    <d v="2020-05-18T00:00:00"/>
    <x v="4"/>
    <x v="413"/>
    <n v="2588148"/>
    <n v="19"/>
    <n v="1858"/>
    <n v="1648"/>
    <n v="136218.31578947368"/>
    <x v="2"/>
  </r>
  <r>
    <d v="2020-05-14T00:00:00"/>
    <x v="4"/>
    <x v="414"/>
    <n v="2441520"/>
    <n v="19"/>
    <n v="1675"/>
    <n v="1475"/>
    <n v="128501.05263157895"/>
    <x v="1"/>
  </r>
  <r>
    <d v="2020-05-15T00:00:00"/>
    <x v="4"/>
    <x v="415"/>
    <n v="2949078"/>
    <n v="19"/>
    <n v="1940"/>
    <n v="1715"/>
    <n v="155214.63157894736"/>
    <x v="1"/>
  </r>
  <r>
    <d v="2020-05-29T00:00:00"/>
    <x v="4"/>
    <x v="416"/>
    <n v="3258054"/>
    <n v="20"/>
    <n v="2249"/>
    <n v="2000"/>
    <n v="162902.70000000001"/>
    <x v="0"/>
  </r>
  <r>
    <d v="2020-05-27T00:00:00"/>
    <x v="5"/>
    <x v="417"/>
    <n v="29256993"/>
    <n v="129"/>
    <n v="17115"/>
    <n v="15962"/>
    <n v="226798.39534883722"/>
    <x v="0"/>
  </r>
  <r>
    <d v="2020-05-22T00:00:00"/>
    <x v="5"/>
    <x v="418"/>
    <n v="29465769"/>
    <n v="129"/>
    <n v="17088"/>
    <n v="15804"/>
    <n v="228416.81395348837"/>
    <x v="2"/>
  </r>
  <r>
    <d v="2020-06-01T00:00:00"/>
    <x v="5"/>
    <x v="419"/>
    <n v="27770092.5"/>
    <n v="128"/>
    <n v="16285"/>
    <n v="15130"/>
    <n v="216953.84765625"/>
    <x v="5"/>
  </r>
  <r>
    <d v="2020-05-11T00:00:00"/>
    <x v="5"/>
    <x v="420"/>
    <n v="24628233.223949999"/>
    <n v="129"/>
    <n v="14043"/>
    <n v="13167"/>
    <n v="190916.53661976743"/>
    <x v="1"/>
  </r>
  <r>
    <d v="2020-05-18T00:00:00"/>
    <x v="5"/>
    <x v="421"/>
    <n v="27535284.147600003"/>
    <n v="129"/>
    <n v="16110"/>
    <n v="14992"/>
    <n v="213451.81509767444"/>
    <x v="2"/>
  </r>
  <r>
    <d v="2020-05-14T00:00:00"/>
    <x v="5"/>
    <x v="422"/>
    <n v="28181292"/>
    <n v="129"/>
    <n v="15804"/>
    <n v="14738"/>
    <n v="218459.62790697673"/>
    <x v="1"/>
  </r>
  <r>
    <d v="2020-05-15T00:00:00"/>
    <x v="5"/>
    <x v="423"/>
    <n v="32354331"/>
    <n v="129"/>
    <n v="17808"/>
    <n v="16486"/>
    <n v="250808.76744186046"/>
    <x v="1"/>
  </r>
  <r>
    <d v="2020-05-27T00:00:00"/>
    <x v="6"/>
    <x v="424"/>
    <n v="39034861.5"/>
    <n v="124"/>
    <n v="21384"/>
    <n v="19897"/>
    <n v="314797.2701612903"/>
    <x v="0"/>
  </r>
  <r>
    <d v="2020-05-22T00:00:00"/>
    <x v="6"/>
    <x v="425"/>
    <n v="39498373.5"/>
    <n v="125"/>
    <n v="21427"/>
    <n v="19799"/>
    <n v="315986.98800000001"/>
    <x v="2"/>
  </r>
  <r>
    <d v="2020-06-01T00:00:00"/>
    <x v="6"/>
    <x v="426"/>
    <n v="37257840.18135"/>
    <n v="123"/>
    <n v="20325"/>
    <n v="18935"/>
    <n v="302909.26976707316"/>
    <x v="5"/>
  </r>
  <r>
    <d v="2020-05-11T00:00:00"/>
    <x v="6"/>
    <x v="427"/>
    <n v="33781581"/>
    <n v="125"/>
    <n v="18066"/>
    <n v="16883"/>
    <n v="270252.64799999999"/>
    <x v="1"/>
  </r>
  <r>
    <d v="2020-05-29T00:00:00"/>
    <x v="5"/>
    <x v="428"/>
    <n v="41767140.105000004"/>
    <n v="129"/>
    <n v="22403"/>
    <n v="20676"/>
    <n v="323776.27988372097"/>
    <x v="0"/>
  </r>
  <r>
    <d v="2020-05-18T00:00:00"/>
    <x v="6"/>
    <x v="429"/>
    <n v="36876888"/>
    <n v="125"/>
    <n v="20449"/>
    <n v="19060"/>
    <n v="295015.10399999999"/>
    <x v="2"/>
  </r>
  <r>
    <d v="2020-05-14T00:00:00"/>
    <x v="6"/>
    <x v="430"/>
    <n v="37963150.5"/>
    <n v="125"/>
    <n v="20247"/>
    <n v="18812"/>
    <n v="303705.20400000003"/>
    <x v="1"/>
  </r>
  <r>
    <d v="2020-05-15T00:00:00"/>
    <x v="6"/>
    <x v="431"/>
    <n v="42271377"/>
    <n v="125"/>
    <n v="21862"/>
    <n v="20235"/>
    <n v="338171.016"/>
    <x v="1"/>
  </r>
  <r>
    <d v="2020-05-27T00:00:00"/>
    <x v="7"/>
    <x v="432"/>
    <n v="5985894"/>
    <n v="36"/>
    <n v="4951"/>
    <n v="4584"/>
    <n v="166274.83333333334"/>
    <x v="0"/>
  </r>
  <r>
    <d v="2020-05-22T00:00:00"/>
    <x v="7"/>
    <x v="433"/>
    <n v="5943489"/>
    <n v="36"/>
    <n v="4857"/>
    <n v="4456"/>
    <n v="165096.91666666666"/>
    <x v="2"/>
  </r>
  <r>
    <d v="2020-06-01T00:00:00"/>
    <x v="7"/>
    <x v="434"/>
    <n v="5800290"/>
    <n v="37"/>
    <n v="4722"/>
    <n v="4352"/>
    <n v="156764.59459459459"/>
    <x v="5"/>
  </r>
  <r>
    <d v="2020-05-11T00:00:00"/>
    <x v="7"/>
    <x v="435"/>
    <n v="5178169.5"/>
    <n v="36"/>
    <n v="4150"/>
    <n v="3838"/>
    <n v="143838.04166666666"/>
    <x v="1"/>
  </r>
  <r>
    <d v="2020-05-29T00:00:00"/>
    <x v="6"/>
    <x v="436"/>
    <n v="54172029"/>
    <n v="124"/>
    <n v="25828"/>
    <n v="23974"/>
    <n v="436871.20161290321"/>
    <x v="0"/>
  </r>
  <r>
    <d v="2020-05-18T00:00:00"/>
    <x v="7"/>
    <x v="437"/>
    <n v="5798476.5"/>
    <n v="36"/>
    <n v="4885"/>
    <n v="4502"/>
    <n v="161068.79166666666"/>
    <x v="2"/>
  </r>
  <r>
    <d v="2020-05-14T00:00:00"/>
    <x v="7"/>
    <x v="438"/>
    <n v="5366602.5"/>
    <n v="36"/>
    <n v="4285"/>
    <n v="3950"/>
    <n v="149072.29166666666"/>
    <x v="1"/>
  </r>
  <r>
    <d v="2020-05-15T00:00:00"/>
    <x v="7"/>
    <x v="439"/>
    <n v="6293952"/>
    <n v="36"/>
    <n v="4862"/>
    <n v="4476"/>
    <n v="174832"/>
    <x v="1"/>
  </r>
  <r>
    <d v="2020-05-27T00:00:00"/>
    <x v="8"/>
    <x v="440"/>
    <n v="3780852"/>
    <n v="21"/>
    <n v="2430"/>
    <n v="2216"/>
    <n v="180040.57142857142"/>
    <x v="0"/>
  </r>
  <r>
    <d v="2020-05-22T00:00:00"/>
    <x v="8"/>
    <x v="441"/>
    <n v="4840833"/>
    <n v="21"/>
    <n v="2861"/>
    <n v="2612"/>
    <n v="230515.85714285713"/>
    <x v="2"/>
  </r>
  <r>
    <d v="2020-06-01T00:00:00"/>
    <x v="8"/>
    <x v="442"/>
    <n v="3865251"/>
    <n v="23"/>
    <n v="2531"/>
    <n v="2296"/>
    <n v="168054.39130434784"/>
    <x v="5"/>
  </r>
  <r>
    <d v="2020-05-11T00:00:00"/>
    <x v="8"/>
    <x v="443"/>
    <n v="3079630.5"/>
    <n v="21"/>
    <n v="1916"/>
    <n v="1733"/>
    <n v="146649.07142857142"/>
    <x v="1"/>
  </r>
  <r>
    <d v="2020-05-29T00:00:00"/>
    <x v="7"/>
    <x v="444"/>
    <n v="7228395"/>
    <n v="37"/>
    <n v="5672"/>
    <n v="5198"/>
    <n v="195362.02702702704"/>
    <x v="0"/>
  </r>
  <r>
    <d v="2020-05-18T00:00:00"/>
    <x v="8"/>
    <x v="445"/>
    <n v="3360135"/>
    <n v="21"/>
    <n v="2136"/>
    <n v="1947"/>
    <n v="160006.42857142858"/>
    <x v="2"/>
  </r>
  <r>
    <d v="2020-05-14T00:00:00"/>
    <x v="8"/>
    <x v="446"/>
    <n v="3166479"/>
    <n v="21"/>
    <n v="1993"/>
    <n v="1796"/>
    <n v="150784.71428571429"/>
    <x v="1"/>
  </r>
  <r>
    <d v="2020-05-15T00:00:00"/>
    <x v="8"/>
    <x v="447"/>
    <n v="3772258.5"/>
    <n v="21"/>
    <n v="2255"/>
    <n v="2045"/>
    <n v="179631.35714285713"/>
    <x v="1"/>
  </r>
  <r>
    <d v="2020-05-29T00:00:00"/>
    <x v="8"/>
    <x v="448"/>
    <n v="4108596"/>
    <n v="22"/>
    <n v="2597"/>
    <n v="2379"/>
    <n v="186754.36363636365"/>
    <x v="0"/>
  </r>
  <r>
    <d v="2020-05-27T00:00:00"/>
    <x v="9"/>
    <x v="449"/>
    <n v="1603084.5"/>
    <n v="17"/>
    <n v="1203"/>
    <n v="1077"/>
    <n v="94299.088235294112"/>
    <x v="0"/>
  </r>
  <r>
    <d v="2020-05-22T00:00:00"/>
    <x v="9"/>
    <x v="450"/>
    <n v="1774329"/>
    <n v="17"/>
    <n v="1268"/>
    <n v="1129"/>
    <n v="104372.29411764706"/>
    <x v="2"/>
  </r>
  <r>
    <d v="2020-06-01T00:00:00"/>
    <x v="9"/>
    <x v="451"/>
    <n v="1526608.5"/>
    <n v="17"/>
    <n v="1185"/>
    <n v="1042"/>
    <n v="89800.5"/>
    <x v="5"/>
  </r>
  <r>
    <d v="2020-05-11T00:00:00"/>
    <x v="9"/>
    <x v="452"/>
    <n v="1096002"/>
    <n v="15"/>
    <n v="812"/>
    <n v="714"/>
    <n v="73066.8"/>
    <x v="1"/>
  </r>
  <r>
    <d v="2020-05-18T00:00:00"/>
    <x v="9"/>
    <x v="453"/>
    <n v="1246162.5"/>
    <n v="16"/>
    <n v="925"/>
    <n v="816"/>
    <n v="77885.15625"/>
    <x v="2"/>
  </r>
  <r>
    <d v="2020-05-14T00:00:00"/>
    <x v="9"/>
    <x v="454"/>
    <n v="1223491.5"/>
    <n v="15"/>
    <n v="890"/>
    <n v="777"/>
    <n v="81566.100000000006"/>
    <x v="1"/>
  </r>
  <r>
    <d v="2020-05-15T00:00:00"/>
    <x v="9"/>
    <x v="455"/>
    <n v="1370482.5"/>
    <n v="15"/>
    <n v="980"/>
    <n v="867"/>
    <n v="91365.5"/>
    <x v="1"/>
  </r>
  <r>
    <d v="2020-05-27T00:00:00"/>
    <x v="10"/>
    <x v="456"/>
    <n v="1211457"/>
    <n v="15"/>
    <n v="809"/>
    <n v="702"/>
    <n v="80763.8"/>
    <x v="0"/>
  </r>
  <r>
    <d v="2020-05-22T00:00:00"/>
    <x v="10"/>
    <x v="457"/>
    <n v="1411909.5"/>
    <n v="15"/>
    <n v="903"/>
    <n v="792"/>
    <n v="94127.3"/>
    <x v="2"/>
  </r>
  <r>
    <d v="2020-06-01T00:00:00"/>
    <x v="10"/>
    <x v="458"/>
    <n v="1565632.5"/>
    <n v="16"/>
    <n v="1019"/>
    <n v="895"/>
    <n v="97852.03125"/>
    <x v="5"/>
  </r>
  <r>
    <d v="2020-05-11T00:00:00"/>
    <x v="10"/>
    <x v="459"/>
    <n v="1081158"/>
    <n v="15"/>
    <n v="684"/>
    <n v="585"/>
    <n v="72077.2"/>
    <x v="1"/>
  </r>
  <r>
    <d v="2020-05-29T00:00:00"/>
    <x v="9"/>
    <x v="460"/>
    <n v="1764669"/>
    <n v="17"/>
    <n v="1296"/>
    <n v="1153"/>
    <n v="103804.05882352941"/>
    <x v="0"/>
  </r>
  <r>
    <d v="2020-05-18T00:00:00"/>
    <x v="10"/>
    <x v="461"/>
    <n v="1115146.5"/>
    <n v="15"/>
    <n v="729"/>
    <n v="636"/>
    <n v="74343.100000000006"/>
    <x v="2"/>
  </r>
  <r>
    <d v="2020-05-14T00:00:00"/>
    <x v="10"/>
    <x v="462"/>
    <n v="963502.5"/>
    <n v="15"/>
    <n v="638"/>
    <n v="548"/>
    <n v="64233.5"/>
    <x v="1"/>
  </r>
  <r>
    <d v="2020-05-15T00:00:00"/>
    <x v="10"/>
    <x v="463"/>
    <n v="1122730.5"/>
    <n v="15"/>
    <n v="688"/>
    <n v="598"/>
    <n v="74848.7"/>
    <x v="1"/>
  </r>
  <r>
    <d v="2020-05-27T00:00:00"/>
    <x v="11"/>
    <x v="464"/>
    <n v="2458555.5"/>
    <n v="20"/>
    <n v="1873"/>
    <n v="1715"/>
    <n v="122927.77499999999"/>
    <x v="0"/>
  </r>
  <r>
    <d v="2020-05-22T00:00:00"/>
    <x v="11"/>
    <x v="465"/>
    <n v="2540715"/>
    <n v="19"/>
    <n v="1859"/>
    <n v="1697"/>
    <n v="133721.84210526315"/>
    <x v="2"/>
  </r>
  <r>
    <d v="2020-06-01T00:00:00"/>
    <x v="11"/>
    <x v="466"/>
    <n v="2538967.5"/>
    <n v="21"/>
    <n v="1879"/>
    <n v="1720"/>
    <n v="120903.21428571429"/>
    <x v="5"/>
  </r>
  <r>
    <d v="2020-05-11T00:00:00"/>
    <x v="11"/>
    <x v="467"/>
    <n v="2164365"/>
    <n v="19"/>
    <n v="1527"/>
    <n v="1389"/>
    <n v="113913.94736842105"/>
    <x v="1"/>
  </r>
  <r>
    <d v="2020-05-29T00:00:00"/>
    <x v="10"/>
    <x v="468"/>
    <n v="1549020"/>
    <n v="16"/>
    <n v="981"/>
    <n v="859"/>
    <n v="96813.75"/>
    <x v="0"/>
  </r>
  <r>
    <d v="2020-05-18T00:00:00"/>
    <x v="11"/>
    <x v="469"/>
    <n v="2324490"/>
    <n v="19"/>
    <n v="1741"/>
    <n v="1597"/>
    <n v="122341.57894736843"/>
    <x v="2"/>
  </r>
  <r>
    <d v="2020-05-14T00:00:00"/>
    <x v="11"/>
    <x v="470"/>
    <n v="2225341.5"/>
    <n v="19"/>
    <n v="1635"/>
    <n v="1487"/>
    <n v="117123.23684210527"/>
    <x v="1"/>
  </r>
  <r>
    <d v="2020-05-15T00:00:00"/>
    <x v="11"/>
    <x v="471"/>
    <n v="2477487"/>
    <n v="19"/>
    <n v="1780"/>
    <n v="1615"/>
    <n v="130394.05263157895"/>
    <x v="1"/>
  </r>
  <r>
    <d v="2020-05-29T00:00:00"/>
    <x v="11"/>
    <x v="472"/>
    <n v="2854741.5"/>
    <n v="20"/>
    <n v="2064"/>
    <n v="1896"/>
    <n v="142737.07500000001"/>
    <x v="0"/>
  </r>
  <r>
    <d v="2020-05-27T00:00:00"/>
    <x v="12"/>
    <x v="473"/>
    <n v="22342300.5"/>
    <n v="59"/>
    <n v="13942"/>
    <n v="12986"/>
    <n v="378683.05932203389"/>
    <x v="0"/>
  </r>
  <r>
    <d v="2020-05-22T00:00:00"/>
    <x v="12"/>
    <x v="474"/>
    <n v="22380772.5"/>
    <n v="60"/>
    <n v="14050"/>
    <n v="13027"/>
    <n v="373012.875"/>
    <x v="2"/>
  </r>
  <r>
    <d v="2020-06-01T00:00:00"/>
    <x v="12"/>
    <x v="475"/>
    <n v="19465372.5"/>
    <n v="59"/>
    <n v="12299"/>
    <n v="11448"/>
    <n v="329921.56779661018"/>
    <x v="5"/>
  </r>
  <r>
    <d v="2020-05-11T00:00:00"/>
    <x v="12"/>
    <x v="476"/>
    <n v="17919144"/>
    <n v="60"/>
    <n v="11100"/>
    <n v="10407"/>
    <n v="298652.40000000002"/>
    <x v="1"/>
  </r>
  <r>
    <d v="2020-05-18T00:00:00"/>
    <x v="12"/>
    <x v="477"/>
    <n v="20422435.5"/>
    <n v="60"/>
    <n v="12460"/>
    <n v="11665"/>
    <n v="340373.92499999999"/>
    <x v="2"/>
  </r>
  <r>
    <d v="2020-05-14T00:00:00"/>
    <x v="12"/>
    <x v="478"/>
    <n v="19942435.5"/>
    <n v="60"/>
    <n v="11935"/>
    <n v="11178"/>
    <n v="332373.92499999999"/>
    <x v="1"/>
  </r>
  <r>
    <d v="2020-05-15T00:00:00"/>
    <x v="12"/>
    <x v="479"/>
    <n v="23085222"/>
    <n v="60"/>
    <n v="13544"/>
    <n v="12643"/>
    <n v="384753.7"/>
    <x v="1"/>
  </r>
  <r>
    <d v="2020-05-27T00:00:00"/>
    <x v="13"/>
    <x v="480"/>
    <n v="20953324.5"/>
    <n v="54"/>
    <n v="13091"/>
    <n v="12216"/>
    <n v="388024.52777777775"/>
    <x v="0"/>
  </r>
  <r>
    <d v="2020-05-22T00:00:00"/>
    <x v="13"/>
    <x v="481"/>
    <n v="20812585.5"/>
    <n v="54"/>
    <n v="13014"/>
    <n v="12095"/>
    <n v="385418.25"/>
    <x v="2"/>
  </r>
  <r>
    <d v="2020-06-01T00:00:00"/>
    <x v="13"/>
    <x v="482"/>
    <n v="18914194.5"/>
    <n v="54"/>
    <n v="11864"/>
    <n v="11071"/>
    <n v="350262.86111111112"/>
    <x v="5"/>
  </r>
  <r>
    <d v="2020-05-11T00:00:00"/>
    <x v="13"/>
    <x v="483"/>
    <n v="16971231"/>
    <n v="54"/>
    <n v="10570"/>
    <n v="9926"/>
    <n v="314282.05555555556"/>
    <x v="1"/>
  </r>
  <r>
    <d v="2020-05-29T00:00:00"/>
    <x v="12"/>
    <x v="484"/>
    <n v="23120443.5"/>
    <n v="59"/>
    <n v="14507"/>
    <n v="13386"/>
    <n v="391871.92372881353"/>
    <x v="0"/>
  </r>
  <r>
    <d v="2020-05-18T00:00:00"/>
    <x v="13"/>
    <x v="485"/>
    <n v="19855122"/>
    <n v="54"/>
    <n v="12012"/>
    <n v="11308"/>
    <n v="367687.44444444444"/>
    <x v="2"/>
  </r>
  <r>
    <d v="2020-05-14T00:00:00"/>
    <x v="13"/>
    <x v="486"/>
    <n v="18640998"/>
    <n v="54"/>
    <n v="11194"/>
    <n v="10554"/>
    <n v="345203.66666666669"/>
    <x v="1"/>
  </r>
  <r>
    <d v="2020-05-15T00:00:00"/>
    <x v="13"/>
    <x v="487"/>
    <n v="21895294.5"/>
    <n v="54"/>
    <n v="12791"/>
    <n v="11950"/>
    <n v="405468.41666666669"/>
    <x v="1"/>
  </r>
  <r>
    <d v="2020-05-29T00:00:00"/>
    <x v="13"/>
    <x v="488"/>
    <n v="22416151.5"/>
    <n v="54"/>
    <n v="14031"/>
    <n v="12943"/>
    <n v="415113.91666666669"/>
    <x v="0"/>
  </r>
  <r>
    <d v="2020-05-27T00:00:00"/>
    <x v="15"/>
    <x v="489"/>
    <n v="687684"/>
    <n v="7"/>
    <n v="409"/>
    <n v="329"/>
    <n v="98240.571428571435"/>
    <x v="0"/>
  </r>
  <r>
    <d v="2020-05-22T00:00:00"/>
    <x v="14"/>
    <x v="490"/>
    <n v="1398771"/>
    <n v="18"/>
    <n v="985"/>
    <n v="861"/>
    <n v="77709.5"/>
    <x v="2"/>
  </r>
  <r>
    <d v="2020-06-01T00:00:00"/>
    <x v="16"/>
    <x v="491"/>
    <n v="389013"/>
    <n v="9"/>
    <n v="294"/>
    <n v="224"/>
    <n v="43223.666666666664"/>
    <x v="5"/>
  </r>
  <r>
    <d v="2020-05-11T00:00:00"/>
    <x v="14"/>
    <x v="492"/>
    <n v="880356"/>
    <n v="15"/>
    <n v="654"/>
    <n v="564"/>
    <n v="58690.400000000001"/>
    <x v="1"/>
  </r>
  <r>
    <d v="2020-05-18T00:00:00"/>
    <x v="14"/>
    <x v="493"/>
    <n v="1230711"/>
    <n v="16"/>
    <n v="864"/>
    <n v="765"/>
    <n v="76919.4375"/>
    <x v="2"/>
  </r>
  <r>
    <d v="2020-05-14T00:00:00"/>
    <x v="14"/>
    <x v="494"/>
    <n v="1131676.5"/>
    <n v="16"/>
    <n v="834"/>
    <n v="735"/>
    <n v="70729.78125"/>
    <x v="1"/>
  </r>
  <r>
    <d v="2020-05-15T00:00:00"/>
    <x v="14"/>
    <x v="495"/>
    <n v="1091040"/>
    <n v="16"/>
    <n v="817"/>
    <n v="718"/>
    <n v="68190"/>
    <x v="1"/>
  </r>
  <r>
    <d v="2020-05-27T00:00:00"/>
    <x v="14"/>
    <x v="496"/>
    <n v="1350199.5"/>
    <n v="18"/>
    <n v="962"/>
    <n v="859"/>
    <n v="75011.083333333328"/>
    <x v="0"/>
  </r>
  <r>
    <d v="2020-06-01T00:00:00"/>
    <x v="17"/>
    <x v="497"/>
    <n v="410892"/>
    <n v="6"/>
    <n v="237"/>
    <n v="175"/>
    <n v="68482"/>
    <x v="5"/>
  </r>
  <r>
    <d v="2020-05-29T00:00:00"/>
    <x v="15"/>
    <x v="498"/>
    <n v="850840.5"/>
    <n v="7"/>
    <n v="491"/>
    <n v="411"/>
    <n v="121548.64285714286"/>
    <x v="0"/>
  </r>
  <r>
    <d v="2020-06-01T00:00:00"/>
    <x v="15"/>
    <x v="499"/>
    <n v="802447.5"/>
    <n v="7"/>
    <n v="500"/>
    <n v="418"/>
    <n v="114635.35714285714"/>
    <x v="5"/>
  </r>
  <r>
    <d v="2020-05-29T00:00:00"/>
    <x v="14"/>
    <x v="500"/>
    <n v="1438255.5"/>
    <n v="18"/>
    <n v="1014"/>
    <n v="893"/>
    <n v="79903.083333333328"/>
    <x v="0"/>
  </r>
  <r>
    <d v="2020-06-01T00:00:00"/>
    <x v="14"/>
    <x v="501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9287C-8B14-CE4E-B6CC-68B100F427A1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102" firstHeaderRow="0" firstDataRow="1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8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baseField="0" baseItem="0"/>
    <dataField name="Сумма по полю Товарооборот, шт" fld="2" baseField="0" baseItem="0"/>
    <dataField name="Доля товарооборота, %" fld="3" baseField="8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02A20-A7A5-D44F-B980-65FD6B281AF4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9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Товарооборот на склад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A2" sqref="A2"/>
    </sheetView>
  </sheetViews>
  <sheetFormatPr baseColWidth="10" defaultColWidth="14.5" defaultRowHeight="15" customHeight="1" x14ac:dyDescent="0.2"/>
  <cols>
    <col min="1" max="1" width="10.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" customWidth="1"/>
    <col min="9" max="9" width="10.1640625" style="15" bestFit="1" customWidth="1"/>
    <col min="10" max="24" width="8.6640625" customWidth="1"/>
  </cols>
  <sheetData>
    <row r="1" spans="1:24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4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SUMIFS(Лист2!$C:$C,Лист2!$A:$A,A2,Лист2!$B:$B,B2)</f>
        <v>15</v>
      </c>
      <c r="F2" s="7">
        <f>SUMIFS(Лист2!$D:$D,Лист2!$A:$A,A2,Лист2!$B:$B,B2)</f>
        <v>441</v>
      </c>
      <c r="G2" s="7">
        <f>SUMIFS(Лист2!$E:$E,Лист2!$A:$A,A2,Лист2!$B:$B,B2)</f>
        <v>368</v>
      </c>
      <c r="H2">
        <f>D2/E2</f>
        <v>41598.1</v>
      </c>
      <c r="I2" s="15">
        <f>WEEKNUM(A2,2)</f>
        <v>22</v>
      </c>
      <c r="J2" s="13"/>
    </row>
    <row r="3" spans="1:24" ht="14.25" customHeight="1" x14ac:dyDescent="0.2">
      <c r="A3" s="8">
        <v>43981</v>
      </c>
      <c r="B3" s="9" t="s">
        <v>9</v>
      </c>
      <c r="C3" s="9">
        <v>10029</v>
      </c>
      <c r="D3" s="9">
        <v>787101</v>
      </c>
      <c r="E3" s="7">
        <f>SUMIFS(Лист2!$C:$C,Лист2!$A:$A,A3,Лист2!$B:$B,B3)</f>
        <v>15</v>
      </c>
      <c r="F3" s="7">
        <f>SUMIFS(Лист2!$D:$D,Лист2!$A:$A,A3,Лист2!$B:$B,B3)</f>
        <v>490</v>
      </c>
      <c r="G3" s="7">
        <f>SUMIFS(Лист2!$E:$E,Лист2!$A:$A,A3,Лист2!$B:$B,B3)</f>
        <v>409</v>
      </c>
      <c r="H3">
        <f t="shared" ref="H3:H66" si="0">D3/E3</f>
        <v>52473.4</v>
      </c>
      <c r="I3" s="15">
        <f t="shared" ref="I3:I66" si="1">WEEKNUM(A3,2)</f>
        <v>22</v>
      </c>
    </row>
    <row r="4" spans="1:24" ht="14.25" customHeight="1" x14ac:dyDescent="0.2">
      <c r="A4" s="5">
        <v>43979</v>
      </c>
      <c r="B4" s="6" t="s">
        <v>9</v>
      </c>
      <c r="C4" s="6">
        <v>8536.5</v>
      </c>
      <c r="D4" s="6">
        <v>643944</v>
      </c>
      <c r="E4" s="7">
        <f>SUMIFS(Лист2!$C:$C,Лист2!$A:$A,A4,Лист2!$B:$B,B4)</f>
        <v>15</v>
      </c>
      <c r="F4" s="7">
        <f>SUMIFS(Лист2!$D:$D,Лист2!$A:$A,A4,Лист2!$B:$B,B4)</f>
        <v>464</v>
      </c>
      <c r="G4" s="7">
        <f>SUMIFS(Лист2!$E:$E,Лист2!$A:$A,A4,Лист2!$B:$B,B4)</f>
        <v>390</v>
      </c>
      <c r="H4">
        <f t="shared" si="0"/>
        <v>42929.599999999999</v>
      </c>
      <c r="I4" s="15">
        <f t="shared" si="1"/>
        <v>22</v>
      </c>
    </row>
    <row r="5" spans="1:24" ht="14.25" customHeight="1" x14ac:dyDescent="0.2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SUMIFS(Лист2!$C:$C,Лист2!$A:$A,A5,Лист2!$B:$B,B5)</f>
        <v>21</v>
      </c>
      <c r="F5" s="7">
        <f>SUMIFS(Лист2!$D:$D,Лист2!$A:$A,A5,Лист2!$B:$B,B5)</f>
        <v>2145</v>
      </c>
      <c r="G5" s="7">
        <f>SUMIFS(Лист2!$E:$E,Лист2!$A:$A,A5,Лист2!$B:$B,B5)</f>
        <v>1947</v>
      </c>
      <c r="H5">
        <f t="shared" si="0"/>
        <v>161709.14285714287</v>
      </c>
      <c r="I5" s="15">
        <f t="shared" si="1"/>
        <v>20</v>
      </c>
    </row>
    <row r="6" spans="1:24" ht="14.25" customHeight="1" x14ac:dyDescent="0.2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SUMIFS(Лист2!$C:$C,Лист2!$A:$A,A6,Лист2!$B:$B,B6)</f>
        <v>21</v>
      </c>
      <c r="F6" s="7">
        <f>SUMIFS(Лист2!$D:$D,Лист2!$A:$A,A6,Лист2!$B:$B,B6)</f>
        <v>1860</v>
      </c>
      <c r="G6" s="7">
        <f>SUMIFS(Лист2!$E:$E,Лист2!$A:$A,A6,Лист2!$B:$B,B6)</f>
        <v>1704</v>
      </c>
      <c r="H6">
        <f t="shared" si="0"/>
        <v>131957.92857142858</v>
      </c>
      <c r="I6" s="15">
        <f t="shared" si="1"/>
        <v>21</v>
      </c>
    </row>
    <row r="7" spans="1:24" ht="14.25" customHeight="1" x14ac:dyDescent="0.2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SUMIFS(Лист2!$C:$C,Лист2!$A:$A,A7,Лист2!$B:$B,B7)</f>
        <v>21</v>
      </c>
      <c r="F7" s="7">
        <f>SUMIFS(Лист2!$D:$D,Лист2!$A:$A,A7,Лист2!$B:$B,B7)</f>
        <v>1874</v>
      </c>
      <c r="G7" s="7">
        <f>SUMIFS(Лист2!$E:$E,Лист2!$A:$A,A7,Лист2!$B:$B,B7)</f>
        <v>1705</v>
      </c>
      <c r="H7">
        <f t="shared" si="0"/>
        <v>137259.92857142858</v>
      </c>
      <c r="I7" s="15">
        <f t="shared" si="1"/>
        <v>20</v>
      </c>
    </row>
    <row r="8" spans="1:24" ht="14.25" customHeight="1" x14ac:dyDescent="0.2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SUMIFS(Лист2!$C:$C,Лист2!$A:$A,A8,Лист2!$B:$B,B8)</f>
        <v>21</v>
      </c>
      <c r="F8" s="7">
        <f>SUMIFS(Лист2!$D:$D,Лист2!$A:$A,A8,Лист2!$B:$B,B8)</f>
        <v>1735</v>
      </c>
      <c r="G8" s="7">
        <f>SUMIFS(Лист2!$E:$E,Лист2!$A:$A,A8,Лист2!$B:$B,B8)</f>
        <v>1568</v>
      </c>
      <c r="H8">
        <f t="shared" si="0"/>
        <v>134810.42857142858</v>
      </c>
      <c r="I8" s="15">
        <f t="shared" si="1"/>
        <v>19</v>
      </c>
    </row>
    <row r="9" spans="1:24" ht="14.25" customHeight="1" x14ac:dyDescent="0.2">
      <c r="A9" s="8">
        <v>43955</v>
      </c>
      <c r="B9" s="9" t="s">
        <v>10</v>
      </c>
      <c r="C9" s="9">
        <v>25566</v>
      </c>
      <c r="D9" s="9">
        <v>2372310</v>
      </c>
      <c r="E9" s="7">
        <f>SUMIFS(Лист2!$C:$C,Лист2!$A:$A,A9,Лист2!$B:$B,B9)</f>
        <v>20</v>
      </c>
      <c r="F9" s="7">
        <f>SUMIFS(Лист2!$D:$D,Лист2!$A:$A,A9,Лист2!$B:$B,B9)</f>
        <v>1519</v>
      </c>
      <c r="G9" s="7">
        <f>SUMIFS(Лист2!$E:$E,Лист2!$A:$A,A9,Лист2!$B:$B,B9)</f>
        <v>1372</v>
      </c>
      <c r="H9">
        <f t="shared" si="0"/>
        <v>118615.5</v>
      </c>
      <c r="I9" s="15">
        <f t="shared" si="1"/>
        <v>19</v>
      </c>
    </row>
    <row r="10" spans="1:24" ht="14.25" customHeight="1" x14ac:dyDescent="0.2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SUMIFS(Лист2!$C:$C,Лист2!$A:$A,A10,Лист2!$B:$B,B10)</f>
        <v>18</v>
      </c>
      <c r="F10" s="7">
        <f>SUMIFS(Лист2!$D:$D,Лист2!$A:$A,A10,Лист2!$B:$B,B10)</f>
        <v>1684</v>
      </c>
      <c r="G10" s="7">
        <f>SUMIFS(Лист2!$E:$E,Лист2!$A:$A,A10,Лист2!$B:$B,B10)</f>
        <v>1528</v>
      </c>
      <c r="H10">
        <f t="shared" si="0"/>
        <v>145748.91666666666</v>
      </c>
      <c r="I10" s="15">
        <f t="shared" si="1"/>
        <v>18</v>
      </c>
    </row>
    <row r="11" spans="1:24" ht="14.25" customHeight="1" x14ac:dyDescent="0.2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SUMIFS(Лист2!$C:$C,Лист2!$A:$A,A11,Лист2!$B:$B,B11)</f>
        <v>18</v>
      </c>
      <c r="F11" s="7">
        <f>SUMIFS(Лист2!$D:$D,Лист2!$A:$A,A11,Лист2!$B:$B,B11)</f>
        <v>1708</v>
      </c>
      <c r="G11" s="7">
        <f>SUMIFS(Лист2!$E:$E,Лист2!$A:$A,A11,Лист2!$B:$B,B11)</f>
        <v>1534</v>
      </c>
      <c r="H11">
        <f t="shared" si="0"/>
        <v>150624.83333333334</v>
      </c>
      <c r="I11" s="15">
        <f t="shared" si="1"/>
        <v>18</v>
      </c>
    </row>
    <row r="12" spans="1:24" ht="14.25" customHeight="1" x14ac:dyDescent="0.2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SUMIFS(Лист2!$C:$C,Лист2!$A:$A,A12,Лист2!$B:$B,B12)</f>
        <v>20</v>
      </c>
      <c r="F12" s="7">
        <f>SUMIFS(Лист2!$D:$D,Лист2!$A:$A,A12,Лист2!$B:$B,B12)</f>
        <v>2044</v>
      </c>
      <c r="G12" s="7">
        <f>SUMIFS(Лист2!$E:$E,Лист2!$A:$A,A12,Лист2!$B:$B,B12)</f>
        <v>1863</v>
      </c>
      <c r="H12">
        <f t="shared" si="0"/>
        <v>148516.5</v>
      </c>
      <c r="I12" s="15">
        <f t="shared" si="1"/>
        <v>22</v>
      </c>
    </row>
    <row r="13" spans="1:24" ht="14.25" customHeight="1" x14ac:dyDescent="0.2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SUMIFS(Лист2!$C:$C,Лист2!$A:$A,A13,Лист2!$B:$B,B13)</f>
        <v>18</v>
      </c>
      <c r="F13" s="7">
        <f>SUMIFS(Лист2!$D:$D,Лист2!$A:$A,A13,Лист2!$B:$B,B13)</f>
        <v>1826</v>
      </c>
      <c r="G13" s="7">
        <f>SUMIFS(Лист2!$E:$E,Лист2!$A:$A,A13,Лист2!$B:$B,B13)</f>
        <v>1633</v>
      </c>
      <c r="H13">
        <f t="shared" si="0"/>
        <v>168403</v>
      </c>
      <c r="I13" s="15">
        <f t="shared" si="1"/>
        <v>18</v>
      </c>
    </row>
    <row r="14" spans="1:24" ht="14.25" customHeight="1" x14ac:dyDescent="0.2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SUMIFS(Лист2!$C:$C,Лист2!$A:$A,A14,Лист2!$B:$B,B14)</f>
        <v>21</v>
      </c>
      <c r="F14" s="7">
        <f>SUMIFS(Лист2!$D:$D,Лист2!$A:$A,A14,Лист2!$B:$B,B14)</f>
        <v>1656</v>
      </c>
      <c r="G14" s="7">
        <f>SUMIFS(Лист2!$E:$E,Лист2!$A:$A,A14,Лист2!$B:$B,B14)</f>
        <v>1516</v>
      </c>
      <c r="H14">
        <f t="shared" si="0"/>
        <v>123608.5</v>
      </c>
      <c r="I14" s="15">
        <f t="shared" si="1"/>
        <v>20</v>
      </c>
    </row>
    <row r="15" spans="1:24" ht="14.25" customHeight="1" x14ac:dyDescent="0.2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SUMIFS(Лист2!$C:$C,Лист2!$A:$A,A15,Лист2!$B:$B,B15)</f>
        <v>21</v>
      </c>
      <c r="F15" s="7">
        <f>SUMIFS(Лист2!$D:$D,Лист2!$A:$A,A15,Лист2!$B:$B,B15)</f>
        <v>1787</v>
      </c>
      <c r="G15" s="7">
        <f>SUMIFS(Лист2!$E:$E,Лист2!$A:$A,A15,Лист2!$B:$B,B15)</f>
        <v>1626</v>
      </c>
      <c r="H15">
        <f t="shared" si="0"/>
        <v>130684.85714285714</v>
      </c>
      <c r="I15" s="15">
        <f t="shared" si="1"/>
        <v>21</v>
      </c>
    </row>
    <row r="16" spans="1:24" ht="14.25" customHeight="1" x14ac:dyDescent="0.2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SUMIFS(Лист2!$C:$C,Лист2!$A:$A,A16,Лист2!$B:$B,B16)</f>
        <v>21</v>
      </c>
      <c r="F16" s="7">
        <f>SUMIFS(Лист2!$D:$D,Лист2!$A:$A,A16,Лист2!$B:$B,B16)</f>
        <v>1921</v>
      </c>
      <c r="G16" s="7">
        <f>SUMIFS(Лист2!$E:$E,Лист2!$A:$A,A16,Лист2!$B:$B,B16)</f>
        <v>1767</v>
      </c>
      <c r="H16">
        <f t="shared" si="0"/>
        <v>139491.92857142858</v>
      </c>
      <c r="I16" s="15">
        <f t="shared" si="1"/>
        <v>21</v>
      </c>
    </row>
    <row r="17" spans="1:9" ht="14.25" customHeight="1" x14ac:dyDescent="0.2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SUMIFS(Лист2!$C:$C,Лист2!$A:$A,A17,Лист2!$B:$B,B17)</f>
        <v>20</v>
      </c>
      <c r="F17" s="7">
        <f>SUMIFS(Лист2!$D:$D,Лист2!$A:$A,A17,Лист2!$B:$B,B17)</f>
        <v>1773</v>
      </c>
      <c r="G17" s="7">
        <f>SUMIFS(Лист2!$E:$E,Лист2!$A:$A,A17,Лист2!$B:$B,B17)</f>
        <v>1604</v>
      </c>
      <c r="H17">
        <f t="shared" si="0"/>
        <v>145338.15</v>
      </c>
      <c r="I17" s="15">
        <f t="shared" si="1"/>
        <v>19</v>
      </c>
    </row>
    <row r="18" spans="1:9" ht="14.25" customHeight="1" x14ac:dyDescent="0.2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SUMIFS(Лист2!$C:$C,Лист2!$A:$A,A18,Лист2!$B:$B,B18)</f>
        <v>18</v>
      </c>
      <c r="F18" s="7">
        <f>SUMIFS(Лист2!$D:$D,Лист2!$A:$A,A18,Лист2!$B:$B,B18)</f>
        <v>1539</v>
      </c>
      <c r="G18" s="7">
        <f>SUMIFS(Лист2!$E:$E,Лист2!$A:$A,A18,Лист2!$B:$B,B18)</f>
        <v>1404</v>
      </c>
      <c r="H18">
        <f t="shared" si="0"/>
        <v>133977.08333333334</v>
      </c>
      <c r="I18" s="15">
        <f t="shared" si="1"/>
        <v>18</v>
      </c>
    </row>
    <row r="19" spans="1:9" ht="14.25" customHeight="1" x14ac:dyDescent="0.2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SUMIFS(Лист2!$C:$C,Лист2!$A:$A,A19,Лист2!$B:$B,B19)</f>
        <v>21</v>
      </c>
      <c r="F19" s="7">
        <f>SUMIFS(Лист2!$D:$D,Лист2!$A:$A,A19,Лист2!$B:$B,B19)</f>
        <v>1698</v>
      </c>
      <c r="G19" s="7">
        <f>SUMIFS(Лист2!$E:$E,Лист2!$A:$A,A19,Лист2!$B:$B,B19)</f>
        <v>1554</v>
      </c>
      <c r="H19">
        <f t="shared" si="0"/>
        <v>125227.71428571429</v>
      </c>
      <c r="I19" s="15">
        <f t="shared" si="1"/>
        <v>20</v>
      </c>
    </row>
    <row r="20" spans="1:9" ht="14.25" customHeight="1" x14ac:dyDescent="0.2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SUMIFS(Лист2!$C:$C,Лист2!$A:$A,A20,Лист2!$B:$B,B20)</f>
        <v>20</v>
      </c>
      <c r="F20" s="7">
        <f>SUMIFS(Лист2!$D:$D,Лист2!$A:$A,A20,Лист2!$B:$B,B20)</f>
        <v>1520</v>
      </c>
      <c r="G20" s="7">
        <f>SUMIFS(Лист2!$E:$E,Лист2!$A:$A,A20,Лист2!$B:$B,B20)</f>
        <v>1373</v>
      </c>
      <c r="H20">
        <f t="shared" si="0"/>
        <v>121745.7</v>
      </c>
      <c r="I20" s="15">
        <f t="shared" si="1"/>
        <v>18</v>
      </c>
    </row>
    <row r="21" spans="1:9" ht="14.25" customHeight="1" x14ac:dyDescent="0.2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SUMIFS(Лист2!$C:$C,Лист2!$A:$A,A21,Лист2!$B:$B,B21)</f>
        <v>20</v>
      </c>
      <c r="F21" s="7">
        <f>SUMIFS(Лист2!$D:$D,Лист2!$A:$A,A21,Лист2!$B:$B,B21)</f>
        <v>1784</v>
      </c>
      <c r="G21" s="7">
        <f>SUMIFS(Лист2!$E:$E,Лист2!$A:$A,A21,Лист2!$B:$B,B21)</f>
        <v>1632</v>
      </c>
      <c r="H21">
        <f t="shared" si="0"/>
        <v>146931.15</v>
      </c>
      <c r="I21" s="15">
        <f t="shared" si="1"/>
        <v>19</v>
      </c>
    </row>
    <row r="22" spans="1:9" ht="14.25" customHeight="1" x14ac:dyDescent="0.2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SUMIFS(Лист2!$C:$C,Лист2!$A:$A,A22,Лист2!$B:$B,B22)</f>
        <v>21</v>
      </c>
      <c r="F22" s="7">
        <f>SUMIFS(Лист2!$D:$D,Лист2!$A:$A,A22,Лист2!$B:$B,B22)</f>
        <v>2340</v>
      </c>
      <c r="G22" s="7">
        <f>SUMIFS(Лист2!$E:$E,Лист2!$A:$A,A22,Лист2!$B:$B,B22)</f>
        <v>2146</v>
      </c>
      <c r="H22">
        <f t="shared" si="0"/>
        <v>172796.5</v>
      </c>
      <c r="I22" s="15">
        <f t="shared" si="1"/>
        <v>21</v>
      </c>
    </row>
    <row r="23" spans="1:9" ht="14.25" customHeight="1" x14ac:dyDescent="0.2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SUMIFS(Лист2!$C:$C,Лист2!$A:$A,A23,Лист2!$B:$B,B23)</f>
        <v>20</v>
      </c>
      <c r="F23" s="7">
        <f>SUMIFS(Лист2!$D:$D,Лист2!$A:$A,A23,Лист2!$B:$B,B23)</f>
        <v>2087</v>
      </c>
      <c r="G23" s="7">
        <f>SUMIFS(Лист2!$E:$E,Лист2!$A:$A,A23,Лист2!$B:$B,B23)</f>
        <v>1914</v>
      </c>
      <c r="H23">
        <f t="shared" si="0"/>
        <v>158829</v>
      </c>
      <c r="I23" s="15">
        <f t="shared" si="1"/>
        <v>22</v>
      </c>
    </row>
    <row r="24" spans="1:9" ht="14.25" customHeight="1" x14ac:dyDescent="0.2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SUMIFS(Лист2!$C:$C,Лист2!$A:$A,A24,Лист2!$B:$B,B24)</f>
        <v>19</v>
      </c>
      <c r="F24" s="7">
        <f>SUMIFS(Лист2!$D:$D,Лист2!$A:$A,A24,Лист2!$B:$B,B24)</f>
        <v>1712</v>
      </c>
      <c r="G24" s="7">
        <f>SUMIFS(Лист2!$E:$E,Лист2!$A:$A,A24,Лист2!$B:$B,B24)</f>
        <v>1552</v>
      </c>
      <c r="H24">
        <f t="shared" si="0"/>
        <v>148273.5</v>
      </c>
      <c r="I24" s="15">
        <f t="shared" si="1"/>
        <v>18</v>
      </c>
    </row>
    <row r="25" spans="1:9" ht="14.25" customHeight="1" x14ac:dyDescent="0.2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SUMIFS(Лист2!$C:$C,Лист2!$A:$A,A25,Лист2!$B:$B,B25)</f>
        <v>21</v>
      </c>
      <c r="F25" s="7">
        <f>SUMIFS(Лист2!$D:$D,Лист2!$A:$A,A25,Лист2!$B:$B,B25)</f>
        <v>2016</v>
      </c>
      <c r="G25" s="7">
        <f>SUMIFS(Лист2!$E:$E,Лист2!$A:$A,A25,Лист2!$B:$B,B25)</f>
        <v>1846</v>
      </c>
      <c r="H25">
        <f t="shared" si="0"/>
        <v>157760.35714285713</v>
      </c>
      <c r="I25" s="15">
        <f t="shared" si="1"/>
        <v>19</v>
      </c>
    </row>
    <row r="26" spans="1:9" ht="14.25" customHeight="1" x14ac:dyDescent="0.2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SUMIFS(Лист2!$C:$C,Лист2!$A:$A,A26,Лист2!$B:$B,B26)</f>
        <v>21</v>
      </c>
      <c r="F26" s="7">
        <f>SUMIFS(Лист2!$D:$D,Лист2!$A:$A,A26,Лист2!$B:$B,B26)</f>
        <v>1646</v>
      </c>
      <c r="G26" s="7">
        <f>SUMIFS(Лист2!$E:$E,Лист2!$A:$A,A26,Лист2!$B:$B,B26)</f>
        <v>1492</v>
      </c>
      <c r="H26">
        <f t="shared" si="0"/>
        <v>125960</v>
      </c>
      <c r="I26" s="15">
        <f t="shared" si="1"/>
        <v>19</v>
      </c>
    </row>
    <row r="27" spans="1:9" ht="14.25" customHeight="1" x14ac:dyDescent="0.2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SUMIFS(Лист2!$C:$C,Лист2!$A:$A,A27,Лист2!$B:$B,B27)</f>
        <v>21</v>
      </c>
      <c r="F27" s="7">
        <f>SUMIFS(Лист2!$D:$D,Лист2!$A:$A,A27,Лист2!$B:$B,B27)</f>
        <v>1542</v>
      </c>
      <c r="G27" s="7">
        <f>SUMIFS(Лист2!$E:$E,Лист2!$A:$A,A27,Лист2!$B:$B,B27)</f>
        <v>1405</v>
      </c>
      <c r="H27">
        <f t="shared" si="0"/>
        <v>117724.42857142857</v>
      </c>
      <c r="I27" s="15">
        <f t="shared" si="1"/>
        <v>19</v>
      </c>
    </row>
    <row r="28" spans="1:9" ht="14.25" customHeight="1" x14ac:dyDescent="0.2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SUMIFS(Лист2!$C:$C,Лист2!$A:$A,A28,Лист2!$B:$B,B28)</f>
        <v>20</v>
      </c>
      <c r="F28" s="7">
        <f>SUMIFS(Лист2!$D:$D,Лист2!$A:$A,A28,Лист2!$B:$B,B28)</f>
        <v>1999</v>
      </c>
      <c r="G28" s="7">
        <f>SUMIFS(Лист2!$E:$E,Лист2!$A:$A,A28,Лист2!$B:$B,B28)</f>
        <v>1829</v>
      </c>
      <c r="H28">
        <f t="shared" si="0"/>
        <v>146237.32500000001</v>
      </c>
      <c r="I28" s="15">
        <f t="shared" si="1"/>
        <v>21</v>
      </c>
    </row>
    <row r="29" spans="1:9" ht="14.25" customHeight="1" x14ac:dyDescent="0.2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SUMIFS(Лист2!$C:$C,Лист2!$A:$A,A29,Лист2!$B:$B,B29)</f>
        <v>21</v>
      </c>
      <c r="F29" s="7">
        <f>SUMIFS(Лист2!$D:$D,Лист2!$A:$A,A29,Лист2!$B:$B,B29)</f>
        <v>2271</v>
      </c>
      <c r="G29" s="7">
        <f>SUMIFS(Лист2!$E:$E,Лист2!$A:$A,A29,Лист2!$B:$B,B29)</f>
        <v>2085</v>
      </c>
      <c r="H29">
        <f t="shared" si="0"/>
        <v>165423.57142857142</v>
      </c>
      <c r="I29" s="15">
        <f t="shared" si="1"/>
        <v>22</v>
      </c>
    </row>
    <row r="30" spans="1:9" ht="14.25" customHeight="1" x14ac:dyDescent="0.2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SUMIFS(Лист2!$C:$C,Лист2!$A:$A,A30,Лист2!$B:$B,B30)</f>
        <v>20</v>
      </c>
      <c r="F30" s="7">
        <f>SUMIFS(Лист2!$D:$D,Лист2!$A:$A,A30,Лист2!$B:$B,B30)</f>
        <v>2597</v>
      </c>
      <c r="G30" s="7">
        <f>SUMIFS(Лист2!$E:$E,Лист2!$A:$A,A30,Лист2!$B:$B,B30)</f>
        <v>2376</v>
      </c>
      <c r="H30">
        <f t="shared" si="0"/>
        <v>196089.22500000001</v>
      </c>
      <c r="I30" s="15">
        <f t="shared" si="1"/>
        <v>22</v>
      </c>
    </row>
    <row r="31" spans="1:9" ht="14.25" customHeight="1" x14ac:dyDescent="0.2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SUMIFS(Лист2!$C:$C,Лист2!$A:$A,A31,Лист2!$B:$B,B31)</f>
        <v>20</v>
      </c>
      <c r="F31" s="7">
        <f>SUMIFS(Лист2!$D:$D,Лист2!$A:$A,A31,Лист2!$B:$B,B31)</f>
        <v>1886</v>
      </c>
      <c r="G31" s="7">
        <f>SUMIFS(Лист2!$E:$E,Лист2!$A:$A,A31,Лист2!$B:$B,B31)</f>
        <v>1736</v>
      </c>
      <c r="H31">
        <f t="shared" si="0"/>
        <v>141388.65</v>
      </c>
      <c r="I31" s="15">
        <f t="shared" si="1"/>
        <v>22</v>
      </c>
    </row>
    <row r="32" spans="1:9" ht="14.25" customHeight="1" x14ac:dyDescent="0.2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SUMIFS(Лист2!$C:$C,Лист2!$A:$A,A32,Лист2!$B:$B,B32)</f>
        <v>31</v>
      </c>
      <c r="F32" s="7">
        <f>SUMIFS(Лист2!$D:$D,Лист2!$A:$A,A32,Лист2!$B:$B,B32)</f>
        <v>5593</v>
      </c>
      <c r="G32" s="7">
        <f>SUMIFS(Лист2!$E:$E,Лист2!$A:$A,A32,Лист2!$B:$B,B32)</f>
        <v>5177</v>
      </c>
      <c r="H32">
        <f t="shared" si="0"/>
        <v>244637.37096774194</v>
      </c>
      <c r="I32" s="15">
        <f t="shared" si="1"/>
        <v>20</v>
      </c>
    </row>
    <row r="33" spans="1:9" ht="14.25" customHeight="1" x14ac:dyDescent="0.2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SUMIFS(Лист2!$C:$C,Лист2!$A:$A,A33,Лист2!$B:$B,B33)</f>
        <v>31</v>
      </c>
      <c r="F33" s="7">
        <f>SUMIFS(Лист2!$D:$D,Лист2!$A:$A,A33,Лист2!$B:$B,B33)</f>
        <v>5389</v>
      </c>
      <c r="G33" s="7">
        <f>SUMIFS(Лист2!$E:$E,Лист2!$A:$A,A33,Лист2!$B:$B,B33)</f>
        <v>5024</v>
      </c>
      <c r="H33">
        <f t="shared" si="0"/>
        <v>219855.19354838709</v>
      </c>
      <c r="I33" s="15">
        <f t="shared" si="1"/>
        <v>21</v>
      </c>
    </row>
    <row r="34" spans="1:9" ht="14.25" customHeight="1" x14ac:dyDescent="0.2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SUMIFS(Лист2!$C:$C,Лист2!$A:$A,A34,Лист2!$B:$B,B34)</f>
        <v>31</v>
      </c>
      <c r="F34" s="7">
        <f>SUMIFS(Лист2!$D:$D,Лист2!$A:$A,A34,Лист2!$B:$B,B34)</f>
        <v>5206</v>
      </c>
      <c r="G34" s="7">
        <f>SUMIFS(Лист2!$E:$E,Лист2!$A:$A,A34,Лист2!$B:$B,B34)</f>
        <v>4843</v>
      </c>
      <c r="H34">
        <f t="shared" si="0"/>
        <v>218546.66129032258</v>
      </c>
      <c r="I34" s="15">
        <f t="shared" si="1"/>
        <v>20</v>
      </c>
    </row>
    <row r="35" spans="1:9" ht="14.25" customHeight="1" x14ac:dyDescent="0.2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SUMIFS(Лист2!$C:$C,Лист2!$A:$A,A35,Лист2!$B:$B,B35)</f>
        <v>31</v>
      </c>
      <c r="F35" s="7">
        <f>SUMIFS(Лист2!$D:$D,Лист2!$A:$A,A35,Лист2!$B:$B,B35)</f>
        <v>4556</v>
      </c>
      <c r="G35" s="7">
        <f>SUMIFS(Лист2!$E:$E,Лист2!$A:$A,A35,Лист2!$B:$B,B35)</f>
        <v>4220</v>
      </c>
      <c r="H35">
        <f t="shared" si="0"/>
        <v>202094.61290322582</v>
      </c>
      <c r="I35" s="15">
        <f t="shared" si="1"/>
        <v>19</v>
      </c>
    </row>
    <row r="36" spans="1:9" ht="14.25" customHeight="1" x14ac:dyDescent="0.2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SUMIFS(Лист2!$C:$C,Лист2!$A:$A,A36,Лист2!$B:$B,B36)</f>
        <v>31</v>
      </c>
      <c r="F36" s="7">
        <f>SUMIFS(Лист2!$D:$D,Лист2!$A:$A,A36,Лист2!$B:$B,B36)</f>
        <v>4968</v>
      </c>
      <c r="G36" s="7">
        <f>SUMIFS(Лист2!$E:$E,Лист2!$A:$A,A36,Лист2!$B:$B,B36)</f>
        <v>4596</v>
      </c>
      <c r="H36">
        <f t="shared" si="0"/>
        <v>214266.09677419355</v>
      </c>
      <c r="I36" s="15">
        <f t="shared" si="1"/>
        <v>19</v>
      </c>
    </row>
    <row r="37" spans="1:9" ht="14.25" customHeight="1" x14ac:dyDescent="0.2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SUMIFS(Лист2!$C:$C,Лист2!$A:$A,A37,Лист2!$B:$B,B37)</f>
        <v>31</v>
      </c>
      <c r="F37" s="7">
        <f>SUMIFS(Лист2!$D:$D,Лист2!$A:$A,A37,Лист2!$B:$B,B37)</f>
        <v>5378</v>
      </c>
      <c r="G37" s="7">
        <f>SUMIFS(Лист2!$E:$E,Лист2!$A:$A,A37,Лист2!$B:$B,B37)</f>
        <v>4985</v>
      </c>
      <c r="H37">
        <f t="shared" si="0"/>
        <v>231628.98387096773</v>
      </c>
      <c r="I37" s="15">
        <f t="shared" si="1"/>
        <v>18</v>
      </c>
    </row>
    <row r="38" spans="1:9" ht="14.25" customHeight="1" x14ac:dyDescent="0.2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SUMIFS(Лист2!$C:$C,Лист2!$A:$A,A38,Лист2!$B:$B,B38)</f>
        <v>31</v>
      </c>
      <c r="F38" s="7">
        <f>SUMIFS(Лист2!$D:$D,Лист2!$A:$A,A38,Лист2!$B:$B,B38)</f>
        <v>4157</v>
      </c>
      <c r="G38" s="7">
        <f>SUMIFS(Лист2!$E:$E,Лист2!$A:$A,A38,Лист2!$B:$B,B38)</f>
        <v>3823</v>
      </c>
      <c r="H38">
        <f t="shared" si="0"/>
        <v>179167.5</v>
      </c>
      <c r="I38" s="15">
        <f t="shared" si="1"/>
        <v>18</v>
      </c>
    </row>
    <row r="39" spans="1:9" ht="14.25" customHeight="1" x14ac:dyDescent="0.2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SUMIFS(Лист2!$C:$C,Лист2!$A:$A,A39,Лист2!$B:$B,B39)</f>
        <v>31</v>
      </c>
      <c r="F39" s="7">
        <f>SUMIFS(Лист2!$D:$D,Лист2!$A:$A,A39,Лист2!$B:$B,B39)</f>
        <v>5493</v>
      </c>
      <c r="G39" s="7">
        <f>SUMIFS(Лист2!$E:$E,Лист2!$A:$A,A39,Лист2!$B:$B,B39)</f>
        <v>5119</v>
      </c>
      <c r="H39">
        <f t="shared" si="0"/>
        <v>215369.66129032258</v>
      </c>
      <c r="I39" s="15">
        <f t="shared" si="1"/>
        <v>22</v>
      </c>
    </row>
    <row r="40" spans="1:9" ht="14.25" customHeight="1" x14ac:dyDescent="0.2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SUMIFS(Лист2!$C:$C,Лист2!$A:$A,A40,Лист2!$B:$B,B40)</f>
        <v>31</v>
      </c>
      <c r="F40" s="7">
        <f>SUMIFS(Лист2!$D:$D,Лист2!$A:$A,A40,Лист2!$B:$B,B40)</f>
        <v>6118</v>
      </c>
      <c r="G40" s="7">
        <f>SUMIFS(Лист2!$E:$E,Лист2!$A:$A,A40,Лист2!$B:$B,B40)</f>
        <v>5564</v>
      </c>
      <c r="H40">
        <f t="shared" si="0"/>
        <v>286871.75806451612</v>
      </c>
      <c r="I40" s="15">
        <f t="shared" si="1"/>
        <v>18</v>
      </c>
    </row>
    <row r="41" spans="1:9" ht="14.25" customHeight="1" x14ac:dyDescent="0.2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SUMIFS(Лист2!$C:$C,Лист2!$A:$A,A41,Лист2!$B:$B,B41)</f>
        <v>31</v>
      </c>
      <c r="F41" s="7">
        <f>SUMIFS(Лист2!$D:$D,Лист2!$A:$A,A41,Лист2!$B:$B,B41)</f>
        <v>4800</v>
      </c>
      <c r="G41" s="7">
        <f>SUMIFS(Лист2!$E:$E,Лист2!$A:$A,A41,Лист2!$B:$B,B41)</f>
        <v>4470</v>
      </c>
      <c r="H41">
        <f t="shared" si="0"/>
        <v>206398.74193548388</v>
      </c>
      <c r="I41" s="15">
        <f t="shared" si="1"/>
        <v>20</v>
      </c>
    </row>
    <row r="42" spans="1:9" ht="14.25" customHeight="1" x14ac:dyDescent="0.2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SUMIFS(Лист2!$C:$C,Лист2!$A:$A,A42,Лист2!$B:$B,B42)</f>
        <v>31</v>
      </c>
      <c r="F42" s="7">
        <f>SUMIFS(Лист2!$D:$D,Лист2!$A:$A,A42,Лист2!$B:$B,B42)</f>
        <v>5207</v>
      </c>
      <c r="G42" s="7">
        <f>SUMIFS(Лист2!$E:$E,Лист2!$A:$A,A42,Лист2!$B:$B,B42)</f>
        <v>4868</v>
      </c>
      <c r="H42">
        <f t="shared" si="0"/>
        <v>213995.0806451613</v>
      </c>
      <c r="I42" s="15">
        <f t="shared" si="1"/>
        <v>21</v>
      </c>
    </row>
    <row r="43" spans="1:9" ht="14.25" customHeight="1" x14ac:dyDescent="0.2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SUMIFS(Лист2!$C:$C,Лист2!$A:$A,A43,Лист2!$B:$B,B43)</f>
        <v>31</v>
      </c>
      <c r="F43" s="7">
        <f>SUMIFS(Лист2!$D:$D,Лист2!$A:$A,A43,Лист2!$B:$B,B43)</f>
        <v>5698</v>
      </c>
      <c r="G43" s="7">
        <f>SUMIFS(Лист2!$E:$E,Лист2!$A:$A,A43,Лист2!$B:$B,B43)</f>
        <v>5258</v>
      </c>
      <c r="H43">
        <f t="shared" si="0"/>
        <v>233792.75806451612</v>
      </c>
      <c r="I43" s="15">
        <f t="shared" si="1"/>
        <v>21</v>
      </c>
    </row>
    <row r="44" spans="1:9" ht="14.25" customHeight="1" x14ac:dyDescent="0.2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SUMIFS(Лист2!$C:$C,Лист2!$A:$A,A44,Лист2!$B:$B,B44)</f>
        <v>31</v>
      </c>
      <c r="F44" s="7">
        <f>SUMIFS(Лист2!$D:$D,Лист2!$A:$A,A44,Лист2!$B:$B,B44)</f>
        <v>5188</v>
      </c>
      <c r="G44" s="7">
        <f>SUMIFS(Лист2!$E:$E,Лист2!$A:$A,A44,Лист2!$B:$B,B44)</f>
        <v>4800</v>
      </c>
      <c r="H44">
        <f t="shared" si="0"/>
        <v>223268.27419354839</v>
      </c>
      <c r="I44" s="15">
        <f t="shared" si="1"/>
        <v>19</v>
      </c>
    </row>
    <row r="45" spans="1:9" ht="14.25" customHeight="1" x14ac:dyDescent="0.2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SUMIFS(Лист2!$C:$C,Лист2!$A:$A,A45,Лист2!$B:$B,B45)</f>
        <v>31</v>
      </c>
      <c r="F45" s="7">
        <f>SUMIFS(Лист2!$D:$D,Лист2!$A:$A,A45,Лист2!$B:$B,B45)</f>
        <v>5465</v>
      </c>
      <c r="G45" s="7">
        <f>SUMIFS(Лист2!$E:$E,Лист2!$A:$A,A45,Лист2!$B:$B,B45)</f>
        <v>5096</v>
      </c>
      <c r="H45">
        <f t="shared" si="0"/>
        <v>231085.30645161291</v>
      </c>
      <c r="I45" s="15">
        <f t="shared" si="1"/>
        <v>18</v>
      </c>
    </row>
    <row r="46" spans="1:9" ht="14.25" customHeight="1" x14ac:dyDescent="0.2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SUMIFS(Лист2!$C:$C,Лист2!$A:$A,A46,Лист2!$B:$B,B46)</f>
        <v>31</v>
      </c>
      <c r="F46" s="7">
        <f>SUMIFS(Лист2!$D:$D,Лист2!$A:$A,A46,Лист2!$B:$B,B46)</f>
        <v>5251</v>
      </c>
      <c r="G46" s="7">
        <f>SUMIFS(Лист2!$E:$E,Лист2!$A:$A,A46,Лист2!$B:$B,B46)</f>
        <v>4853</v>
      </c>
      <c r="H46">
        <f t="shared" si="0"/>
        <v>225611.37096774194</v>
      </c>
      <c r="I46" s="15">
        <f t="shared" si="1"/>
        <v>20</v>
      </c>
    </row>
    <row r="47" spans="1:9" ht="14.25" customHeight="1" x14ac:dyDescent="0.2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SUMIFS(Лист2!$C:$C,Лист2!$A:$A,A47,Лист2!$B:$B,B47)</f>
        <v>31</v>
      </c>
      <c r="F47" s="7">
        <f>SUMIFS(Лист2!$D:$D,Лист2!$A:$A,A47,Лист2!$B:$B,B47)</f>
        <v>5155</v>
      </c>
      <c r="G47" s="7">
        <f>SUMIFS(Лист2!$E:$E,Лист2!$A:$A,A47,Лист2!$B:$B,B47)</f>
        <v>4762</v>
      </c>
      <c r="H47">
        <f t="shared" si="0"/>
        <v>226247.4193548387</v>
      </c>
      <c r="I47" s="15">
        <f t="shared" si="1"/>
        <v>18</v>
      </c>
    </row>
    <row r="48" spans="1:9" ht="14.25" customHeight="1" x14ac:dyDescent="0.2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SUMIFS(Лист2!$C:$C,Лист2!$A:$A,A48,Лист2!$B:$B,B48)</f>
        <v>31</v>
      </c>
      <c r="F48" s="7">
        <f>SUMIFS(Лист2!$D:$D,Лист2!$A:$A,A48,Лист2!$B:$B,B48)</f>
        <v>4709</v>
      </c>
      <c r="G48" s="7">
        <f>SUMIFS(Лист2!$E:$E,Лист2!$A:$A,A48,Лист2!$B:$B,B48)</f>
        <v>4348</v>
      </c>
      <c r="H48">
        <f t="shared" si="0"/>
        <v>198988.93548387097</v>
      </c>
      <c r="I48" s="15">
        <f t="shared" si="1"/>
        <v>19</v>
      </c>
    </row>
    <row r="49" spans="1:9" ht="14.25" customHeight="1" x14ac:dyDescent="0.2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SUMIFS(Лист2!$C:$C,Лист2!$A:$A,A49,Лист2!$B:$B,B49)</f>
        <v>31</v>
      </c>
      <c r="F49" s="7">
        <f>SUMIFS(Лист2!$D:$D,Лист2!$A:$A,A49,Лист2!$B:$B,B49)</f>
        <v>6276</v>
      </c>
      <c r="G49" s="7">
        <f>SUMIFS(Лист2!$E:$E,Лист2!$A:$A,A49,Лист2!$B:$B,B49)</f>
        <v>5801</v>
      </c>
      <c r="H49">
        <f t="shared" si="0"/>
        <v>260940.09677419355</v>
      </c>
      <c r="I49" s="15">
        <f t="shared" si="1"/>
        <v>21</v>
      </c>
    </row>
    <row r="50" spans="1:9" ht="14.25" customHeight="1" x14ac:dyDescent="0.2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SUMIFS(Лист2!$C:$C,Лист2!$A:$A,A50,Лист2!$B:$B,B50)</f>
        <v>31</v>
      </c>
      <c r="F50" s="7">
        <f>SUMIFS(Лист2!$D:$D,Лист2!$A:$A,A50,Лист2!$B:$B,B50)</f>
        <v>5210</v>
      </c>
      <c r="G50" s="7">
        <f>SUMIFS(Лист2!$E:$E,Лист2!$A:$A,A50,Лист2!$B:$B,B50)</f>
        <v>4841</v>
      </c>
      <c r="H50">
        <f t="shared" si="0"/>
        <v>214374.29032258064</v>
      </c>
      <c r="I50" s="15">
        <f t="shared" si="1"/>
        <v>22</v>
      </c>
    </row>
    <row r="51" spans="1:9" ht="14.25" customHeight="1" x14ac:dyDescent="0.2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SUMIFS(Лист2!$C:$C,Лист2!$A:$A,A51,Лист2!$B:$B,B51)</f>
        <v>31</v>
      </c>
      <c r="F51" s="7">
        <f>SUMIFS(Лист2!$D:$D,Лист2!$A:$A,A51,Лист2!$B:$B,B51)</f>
        <v>5120</v>
      </c>
      <c r="G51" s="7">
        <f>SUMIFS(Лист2!$E:$E,Лист2!$A:$A,A51,Лист2!$B:$B,B51)</f>
        <v>4737</v>
      </c>
      <c r="H51">
        <f t="shared" si="0"/>
        <v>226571.85483870967</v>
      </c>
      <c r="I51" s="15">
        <f t="shared" si="1"/>
        <v>18</v>
      </c>
    </row>
    <row r="52" spans="1:9" ht="14.25" customHeight="1" x14ac:dyDescent="0.2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SUMIFS(Лист2!$C:$C,Лист2!$A:$A,A52,Лист2!$B:$B,B52)</f>
        <v>31</v>
      </c>
      <c r="F52" s="7">
        <f>SUMIFS(Лист2!$D:$D,Лист2!$A:$A,A52,Лист2!$B:$B,B52)</f>
        <v>5495</v>
      </c>
      <c r="G52" s="7">
        <f>SUMIFS(Лист2!$E:$E,Лист2!$A:$A,A52,Лист2!$B:$B,B52)</f>
        <v>5093</v>
      </c>
      <c r="H52">
        <f t="shared" si="0"/>
        <v>241393.35483870967</v>
      </c>
      <c r="I52" s="15">
        <f t="shared" si="1"/>
        <v>19</v>
      </c>
    </row>
    <row r="53" spans="1:9" ht="14.25" customHeight="1" x14ac:dyDescent="0.2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SUMIFS(Лист2!$C:$C,Лист2!$A:$A,A53,Лист2!$B:$B,B53)</f>
        <v>31</v>
      </c>
      <c r="F53" s="7">
        <f>SUMIFS(Лист2!$D:$D,Лист2!$A:$A,A53,Лист2!$B:$B,B53)</f>
        <v>4635</v>
      </c>
      <c r="G53" s="7">
        <f>SUMIFS(Лист2!$E:$E,Лист2!$A:$A,A53,Лист2!$B:$B,B53)</f>
        <v>4266</v>
      </c>
      <c r="H53">
        <f t="shared" si="0"/>
        <v>203025.04838709679</v>
      </c>
      <c r="I53" s="15">
        <f t="shared" si="1"/>
        <v>19</v>
      </c>
    </row>
    <row r="54" spans="1:9" ht="14.25" customHeight="1" x14ac:dyDescent="0.2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SUMIFS(Лист2!$C:$C,Лист2!$A:$A,A54,Лист2!$B:$B,B54)</f>
        <v>31</v>
      </c>
      <c r="F54" s="7">
        <f>SUMIFS(Лист2!$D:$D,Лист2!$A:$A,A54,Лист2!$B:$B,B54)</f>
        <v>4903</v>
      </c>
      <c r="G54" s="7">
        <f>SUMIFS(Лист2!$E:$E,Лист2!$A:$A,A54,Лист2!$B:$B,B54)</f>
        <v>4527</v>
      </c>
      <c r="H54">
        <f t="shared" si="0"/>
        <v>212641.40322580645</v>
      </c>
      <c r="I54" s="15">
        <f t="shared" si="1"/>
        <v>19</v>
      </c>
    </row>
    <row r="55" spans="1:9" ht="14.25" customHeight="1" x14ac:dyDescent="0.2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SUMIFS(Лист2!$C:$C,Лист2!$A:$A,A55,Лист2!$B:$B,B55)</f>
        <v>31</v>
      </c>
      <c r="F55" s="7">
        <f>SUMIFS(Лист2!$D:$D,Лист2!$A:$A,A55,Лист2!$B:$B,B55)</f>
        <v>5035</v>
      </c>
      <c r="G55" s="7">
        <f>SUMIFS(Лист2!$E:$E,Лист2!$A:$A,A55,Лист2!$B:$B,B55)</f>
        <v>4683</v>
      </c>
      <c r="H55">
        <f t="shared" si="0"/>
        <v>208097.80645161291</v>
      </c>
      <c r="I55" s="15">
        <f t="shared" si="1"/>
        <v>21</v>
      </c>
    </row>
    <row r="56" spans="1:9" ht="14.25" customHeight="1" x14ac:dyDescent="0.2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SUMIFS(Лист2!$C:$C,Лист2!$A:$A,A56,Лист2!$B:$B,B56)</f>
        <v>10</v>
      </c>
      <c r="F56" s="7">
        <f>SUMIFS(Лист2!$D:$D,Лист2!$A:$A,A56,Лист2!$B:$B,B56)</f>
        <v>760</v>
      </c>
      <c r="G56" s="7">
        <f>SUMIFS(Лист2!$E:$E,Лист2!$A:$A,A56,Лист2!$B:$B,B56)</f>
        <v>672</v>
      </c>
      <c r="H56">
        <f t="shared" si="0"/>
        <v>113050.65</v>
      </c>
      <c r="I56" s="15">
        <f t="shared" si="1"/>
        <v>20</v>
      </c>
    </row>
    <row r="57" spans="1:9" ht="14.25" customHeight="1" x14ac:dyDescent="0.2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SUMIFS(Лист2!$C:$C,Лист2!$A:$A,A57,Лист2!$B:$B,B57)</f>
        <v>10</v>
      </c>
      <c r="F57" s="7">
        <f>SUMIFS(Лист2!$D:$D,Лист2!$A:$A,A57,Лист2!$B:$B,B57)</f>
        <v>649</v>
      </c>
      <c r="G57" s="7">
        <f>SUMIFS(Лист2!$E:$E,Лист2!$A:$A,A57,Лист2!$B:$B,B57)</f>
        <v>568</v>
      </c>
      <c r="H57">
        <f t="shared" si="0"/>
        <v>93876.45</v>
      </c>
      <c r="I57" s="15">
        <f t="shared" si="1"/>
        <v>21</v>
      </c>
    </row>
    <row r="58" spans="1:9" ht="14.25" customHeight="1" x14ac:dyDescent="0.2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SUMIFS(Лист2!$C:$C,Лист2!$A:$A,A58,Лист2!$B:$B,B58)</f>
        <v>10</v>
      </c>
      <c r="F58" s="7">
        <f>SUMIFS(Лист2!$D:$D,Лист2!$A:$A,A58,Лист2!$B:$B,B58)</f>
        <v>591</v>
      </c>
      <c r="G58" s="7">
        <f>SUMIFS(Лист2!$E:$E,Лист2!$A:$A,A58,Лист2!$B:$B,B58)</f>
        <v>513</v>
      </c>
      <c r="H58">
        <f t="shared" si="0"/>
        <v>84372.75</v>
      </c>
      <c r="I58" s="15">
        <f t="shared" si="1"/>
        <v>20</v>
      </c>
    </row>
    <row r="59" spans="1:9" ht="14.25" customHeight="1" x14ac:dyDescent="0.2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SUMIFS(Лист2!$C:$C,Лист2!$A:$A,A59,Лист2!$B:$B,B59)</f>
        <v>10</v>
      </c>
      <c r="F59" s="7">
        <f>SUMIFS(Лист2!$D:$D,Лист2!$A:$A,A59,Лист2!$B:$B,B59)</f>
        <v>644</v>
      </c>
      <c r="G59" s="7">
        <f>SUMIFS(Лист2!$E:$E,Лист2!$A:$A,A59,Лист2!$B:$B,B59)</f>
        <v>559</v>
      </c>
      <c r="H59">
        <f t="shared" si="0"/>
        <v>104640</v>
      </c>
      <c r="I59" s="15">
        <f t="shared" si="1"/>
        <v>19</v>
      </c>
    </row>
    <row r="60" spans="1:9" ht="14.25" customHeight="1" x14ac:dyDescent="0.2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SUMIFS(Лист2!$C:$C,Лист2!$A:$A,A60,Лист2!$B:$B,B60)</f>
        <v>10</v>
      </c>
      <c r="F60" s="7">
        <f>SUMIFS(Лист2!$D:$D,Лист2!$A:$A,A60,Лист2!$B:$B,B60)</f>
        <v>462</v>
      </c>
      <c r="G60" s="7">
        <f>SUMIFS(Лист2!$E:$E,Лист2!$A:$A,A60,Лист2!$B:$B,B60)</f>
        <v>396</v>
      </c>
      <c r="H60">
        <f t="shared" si="0"/>
        <v>72889.05</v>
      </c>
      <c r="I60" s="15">
        <f t="shared" si="1"/>
        <v>19</v>
      </c>
    </row>
    <row r="61" spans="1:9" ht="14.25" customHeight="1" x14ac:dyDescent="0.2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SUMIFS(Лист2!$C:$C,Лист2!$A:$A,A61,Лист2!$B:$B,B61)</f>
        <v>10</v>
      </c>
      <c r="F61" s="7">
        <f>SUMIFS(Лист2!$D:$D,Лист2!$A:$A,A61,Лист2!$B:$B,B61)</f>
        <v>502</v>
      </c>
      <c r="G61" s="7">
        <f>SUMIFS(Лист2!$E:$E,Лист2!$A:$A,A61,Лист2!$B:$B,B61)</f>
        <v>433</v>
      </c>
      <c r="H61">
        <f t="shared" si="0"/>
        <v>79791.899999999994</v>
      </c>
      <c r="I61" s="15">
        <f t="shared" si="1"/>
        <v>18</v>
      </c>
    </row>
    <row r="62" spans="1:9" ht="14.25" customHeight="1" x14ac:dyDescent="0.2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SUMIFS(Лист2!$C:$C,Лист2!$A:$A,A62,Лист2!$B:$B,B62)</f>
        <v>10</v>
      </c>
      <c r="F62" s="7">
        <f>SUMIFS(Лист2!$D:$D,Лист2!$A:$A,A62,Лист2!$B:$B,B62)</f>
        <v>416</v>
      </c>
      <c r="G62" s="7">
        <f>SUMIFS(Лист2!$E:$E,Лист2!$A:$A,A62,Лист2!$B:$B,B62)</f>
        <v>341</v>
      </c>
      <c r="H62">
        <f t="shared" si="0"/>
        <v>61788.15</v>
      </c>
      <c r="I62" s="15">
        <f t="shared" si="1"/>
        <v>18</v>
      </c>
    </row>
    <row r="63" spans="1:9" ht="14.25" customHeight="1" x14ac:dyDescent="0.2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SUMIFS(Лист2!$C:$C,Лист2!$A:$A,A63,Лист2!$B:$B,B63)</f>
        <v>10</v>
      </c>
      <c r="F63" s="7">
        <f>SUMIFS(Лист2!$D:$D,Лист2!$A:$A,A63,Лист2!$B:$B,B63)</f>
        <v>692</v>
      </c>
      <c r="G63" s="7">
        <f>SUMIFS(Лист2!$E:$E,Лист2!$A:$A,A63,Лист2!$B:$B,B63)</f>
        <v>601</v>
      </c>
      <c r="H63">
        <f t="shared" si="0"/>
        <v>98310.9</v>
      </c>
      <c r="I63" s="15">
        <f t="shared" si="1"/>
        <v>22</v>
      </c>
    </row>
    <row r="64" spans="1:9" ht="14.25" customHeight="1" x14ac:dyDescent="0.2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SUMIFS(Лист2!$C:$C,Лист2!$A:$A,A64,Лист2!$B:$B,B64)</f>
        <v>10</v>
      </c>
      <c r="F64" s="7">
        <f>SUMIFS(Лист2!$D:$D,Лист2!$A:$A,A64,Лист2!$B:$B,B64)</f>
        <v>554</v>
      </c>
      <c r="G64" s="7">
        <f>SUMIFS(Лист2!$E:$E,Лист2!$A:$A,A64,Лист2!$B:$B,B64)</f>
        <v>472</v>
      </c>
      <c r="H64">
        <f t="shared" si="0"/>
        <v>89113.95</v>
      </c>
      <c r="I64" s="15">
        <f t="shared" si="1"/>
        <v>18</v>
      </c>
    </row>
    <row r="65" spans="1:9" ht="14.25" customHeight="1" x14ac:dyDescent="0.2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SUMIFS(Лист2!$C:$C,Лист2!$A:$A,A65,Лист2!$B:$B,B65)</f>
        <v>10</v>
      </c>
      <c r="F65" s="7">
        <f>SUMIFS(Лист2!$D:$D,Лист2!$A:$A,A65,Лист2!$B:$B,B65)</f>
        <v>526</v>
      </c>
      <c r="G65" s="7">
        <f>SUMIFS(Лист2!$E:$E,Лист2!$A:$A,A65,Лист2!$B:$B,B65)</f>
        <v>448</v>
      </c>
      <c r="H65">
        <f t="shared" si="0"/>
        <v>73296.45</v>
      </c>
      <c r="I65" s="15">
        <f t="shared" si="1"/>
        <v>20</v>
      </c>
    </row>
    <row r="66" spans="1:9" ht="14.25" customHeight="1" x14ac:dyDescent="0.2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SUMIFS(Лист2!$C:$C,Лист2!$A:$A,A66,Лист2!$B:$B,B66)</f>
        <v>10</v>
      </c>
      <c r="F66" s="7">
        <f>SUMIFS(Лист2!$D:$D,Лист2!$A:$A,A66,Лист2!$B:$B,B66)</f>
        <v>677</v>
      </c>
      <c r="G66" s="7">
        <f>SUMIFS(Лист2!$E:$E,Лист2!$A:$A,A66,Лист2!$B:$B,B66)</f>
        <v>591</v>
      </c>
      <c r="H66">
        <f t="shared" si="0"/>
        <v>93552.3</v>
      </c>
      <c r="I66" s="15">
        <f t="shared" si="1"/>
        <v>21</v>
      </c>
    </row>
    <row r="67" spans="1:9" ht="14.25" customHeight="1" x14ac:dyDescent="0.2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SUMIFS(Лист2!$C:$C,Лист2!$A:$A,A67,Лист2!$B:$B,B67)</f>
        <v>10</v>
      </c>
      <c r="F67" s="7">
        <f>SUMIFS(Лист2!$D:$D,Лист2!$A:$A,A67,Лист2!$B:$B,B67)</f>
        <v>745</v>
      </c>
      <c r="G67" s="7">
        <f>SUMIFS(Лист2!$E:$E,Лист2!$A:$A,A67,Лист2!$B:$B,B67)</f>
        <v>654</v>
      </c>
      <c r="H67">
        <f t="shared" ref="H67:H130" si="2">D67/E67</f>
        <v>103724.7</v>
      </c>
      <c r="I67" s="15">
        <f t="shared" ref="I67:I130" si="3">WEEKNUM(A67,2)</f>
        <v>21</v>
      </c>
    </row>
    <row r="68" spans="1:9" ht="14.25" customHeight="1" x14ac:dyDescent="0.2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SUMIFS(Лист2!$C:$C,Лист2!$A:$A,A68,Лист2!$B:$B,B68)</f>
        <v>10</v>
      </c>
      <c r="F68" s="7">
        <f>SUMIFS(Лист2!$D:$D,Лист2!$A:$A,A68,Лист2!$B:$B,B68)</f>
        <v>511</v>
      </c>
      <c r="G68" s="7">
        <f>SUMIFS(Лист2!$E:$E,Лист2!$A:$A,A68,Лист2!$B:$B,B68)</f>
        <v>437</v>
      </c>
      <c r="H68">
        <f t="shared" si="2"/>
        <v>79332</v>
      </c>
      <c r="I68" s="15">
        <f t="shared" si="3"/>
        <v>19</v>
      </c>
    </row>
    <row r="69" spans="1:9" ht="14.25" customHeight="1" x14ac:dyDescent="0.2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SUMIFS(Лист2!$C:$C,Лист2!$A:$A,A69,Лист2!$B:$B,B69)</f>
        <v>10</v>
      </c>
      <c r="F69" s="7">
        <f>SUMIFS(Лист2!$D:$D,Лист2!$A:$A,A69,Лист2!$B:$B,B69)</f>
        <v>580</v>
      </c>
      <c r="G69" s="7">
        <f>SUMIFS(Лист2!$E:$E,Лист2!$A:$A,A69,Лист2!$B:$B,B69)</f>
        <v>506</v>
      </c>
      <c r="H69">
        <f t="shared" si="2"/>
        <v>86998.35</v>
      </c>
      <c r="I69" s="15">
        <f t="shared" si="3"/>
        <v>18</v>
      </c>
    </row>
    <row r="70" spans="1:9" ht="14.25" customHeight="1" x14ac:dyDescent="0.2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SUMIFS(Лист2!$C:$C,Лист2!$A:$A,A70,Лист2!$B:$B,B70)</f>
        <v>10</v>
      </c>
      <c r="F70" s="7">
        <f>SUMIFS(Лист2!$D:$D,Лист2!$A:$A,A70,Лист2!$B:$B,B70)</f>
        <v>612</v>
      </c>
      <c r="G70" s="7">
        <f>SUMIFS(Лист2!$E:$E,Лист2!$A:$A,A70,Лист2!$B:$B,B70)</f>
        <v>530</v>
      </c>
      <c r="H70">
        <f t="shared" si="2"/>
        <v>86571.45</v>
      </c>
      <c r="I70" s="15">
        <f t="shared" si="3"/>
        <v>20</v>
      </c>
    </row>
    <row r="71" spans="1:9" ht="14.25" customHeight="1" x14ac:dyDescent="0.2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SUMIFS(Лист2!$C:$C,Лист2!$A:$A,A71,Лист2!$B:$B,B71)</f>
        <v>31</v>
      </c>
      <c r="F71" s="7">
        <f>SUMIFS(Лист2!$D:$D,Лист2!$A:$A,A71,Лист2!$B:$B,B71)</f>
        <v>5760</v>
      </c>
      <c r="G71" s="7">
        <f>SUMIFS(Лист2!$E:$E,Лист2!$A:$A,A71,Лист2!$B:$B,B71)</f>
        <v>5367</v>
      </c>
      <c r="H71">
        <f t="shared" si="2"/>
        <v>242343.43548387097</v>
      </c>
      <c r="I71" s="15">
        <f t="shared" si="3"/>
        <v>22</v>
      </c>
    </row>
    <row r="72" spans="1:9" ht="14.25" customHeight="1" x14ac:dyDescent="0.2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SUMIFS(Лист2!$C:$C,Лист2!$A:$A,A72,Лист2!$B:$B,B72)</f>
        <v>10</v>
      </c>
      <c r="F72" s="7">
        <f>SUMIFS(Лист2!$D:$D,Лист2!$A:$A,A72,Лист2!$B:$B,B72)</f>
        <v>402</v>
      </c>
      <c r="G72" s="7">
        <f>SUMIFS(Лист2!$E:$E,Лист2!$A:$A,A72,Лист2!$B:$B,B72)</f>
        <v>333</v>
      </c>
      <c r="H72">
        <f t="shared" si="2"/>
        <v>63788.1</v>
      </c>
      <c r="I72" s="15">
        <f t="shared" si="3"/>
        <v>18</v>
      </c>
    </row>
    <row r="73" spans="1:9" ht="14.25" customHeight="1" x14ac:dyDescent="0.2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SUMIFS(Лист2!$C:$C,Лист2!$A:$A,A73,Лист2!$B:$B,B73)</f>
        <v>31</v>
      </c>
      <c r="F73" s="7">
        <f>SUMIFS(Лист2!$D:$D,Лист2!$A:$A,A73,Лист2!$B:$B,B73)</f>
        <v>6735</v>
      </c>
      <c r="G73" s="7">
        <f>SUMIFS(Лист2!$E:$E,Лист2!$A:$A,A73,Лист2!$B:$B,B73)</f>
        <v>6264</v>
      </c>
      <c r="H73">
        <f t="shared" si="2"/>
        <v>295635.72580645164</v>
      </c>
      <c r="I73" s="15">
        <f t="shared" si="3"/>
        <v>22</v>
      </c>
    </row>
    <row r="74" spans="1:9" ht="14.25" customHeight="1" x14ac:dyDescent="0.2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SUMIFS(Лист2!$C:$C,Лист2!$A:$A,A74,Лист2!$B:$B,B74)</f>
        <v>10</v>
      </c>
      <c r="F74" s="7">
        <f>SUMIFS(Лист2!$D:$D,Лист2!$A:$A,A74,Лист2!$B:$B,B74)</f>
        <v>465</v>
      </c>
      <c r="G74" s="7">
        <f>SUMIFS(Лист2!$E:$E,Лист2!$A:$A,A74,Лист2!$B:$B,B74)</f>
        <v>390</v>
      </c>
      <c r="H74">
        <f t="shared" si="2"/>
        <v>69683.25</v>
      </c>
      <c r="I74" s="15">
        <f t="shared" si="3"/>
        <v>19</v>
      </c>
    </row>
    <row r="75" spans="1:9" ht="14.25" customHeight="1" x14ac:dyDescent="0.2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SUMIFS(Лист2!$C:$C,Лист2!$A:$A,A75,Лист2!$B:$B,B75)</f>
        <v>10</v>
      </c>
      <c r="F75" s="7">
        <f>SUMIFS(Лист2!$D:$D,Лист2!$A:$A,A75,Лист2!$B:$B,B75)</f>
        <v>828</v>
      </c>
      <c r="G75" s="7">
        <f>SUMIFS(Лист2!$E:$E,Лист2!$A:$A,A75,Лист2!$B:$B,B75)</f>
        <v>734</v>
      </c>
      <c r="H75">
        <f t="shared" si="2"/>
        <v>124138.35</v>
      </c>
      <c r="I75" s="15">
        <f t="shared" si="3"/>
        <v>21</v>
      </c>
    </row>
    <row r="76" spans="1:9" ht="14.25" customHeight="1" x14ac:dyDescent="0.2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SUMIFS(Лист2!$C:$C,Лист2!$A:$A,A76,Лист2!$B:$B,B76)</f>
        <v>31</v>
      </c>
      <c r="F76" s="7">
        <f>SUMIFS(Лист2!$D:$D,Лист2!$A:$A,A76,Лист2!$B:$B,B76)</f>
        <v>5355</v>
      </c>
      <c r="G76" s="7">
        <f>SUMIFS(Лист2!$E:$E,Лист2!$A:$A,A76,Лист2!$B:$B,B76)</f>
        <v>4969</v>
      </c>
      <c r="H76">
        <f t="shared" si="2"/>
        <v>214244.17741935485</v>
      </c>
      <c r="I76" s="15">
        <f t="shared" si="3"/>
        <v>22</v>
      </c>
    </row>
    <row r="77" spans="1:9" ht="14.25" customHeight="1" x14ac:dyDescent="0.2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SUMIFS(Лист2!$C:$C,Лист2!$A:$A,A77,Лист2!$B:$B,B77)</f>
        <v>10</v>
      </c>
      <c r="F77" s="7">
        <f>SUMIFS(Лист2!$D:$D,Лист2!$A:$A,A77,Лист2!$B:$B,B77)</f>
        <v>739</v>
      </c>
      <c r="G77" s="7">
        <f>SUMIFS(Лист2!$E:$E,Лист2!$A:$A,A77,Лист2!$B:$B,B77)</f>
        <v>642</v>
      </c>
      <c r="H77">
        <f t="shared" si="2"/>
        <v>103044</v>
      </c>
      <c r="I77" s="15">
        <f t="shared" si="3"/>
        <v>22</v>
      </c>
    </row>
    <row r="78" spans="1:9" ht="14.25" customHeight="1" x14ac:dyDescent="0.2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SUMIFS(Лист2!$C:$C,Лист2!$A:$A,A78,Лист2!$B:$B,B78)</f>
        <v>10</v>
      </c>
      <c r="F78" s="7">
        <f>SUMIFS(Лист2!$D:$D,Лист2!$A:$A,A78,Лист2!$B:$B,B78)</f>
        <v>448</v>
      </c>
      <c r="G78" s="7">
        <f>SUMIFS(Лист2!$E:$E,Лист2!$A:$A,A78,Лист2!$B:$B,B78)</f>
        <v>376</v>
      </c>
      <c r="H78">
        <f t="shared" si="2"/>
        <v>71619.600000000006</v>
      </c>
      <c r="I78" s="15">
        <f t="shared" si="3"/>
        <v>18</v>
      </c>
    </row>
    <row r="79" spans="1:9" ht="14.25" customHeight="1" x14ac:dyDescent="0.2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SUMIFS(Лист2!$C:$C,Лист2!$A:$A,A79,Лист2!$B:$B,B79)</f>
        <v>10</v>
      </c>
      <c r="F79" s="7">
        <f>SUMIFS(Лист2!$D:$D,Лист2!$A:$A,A79,Лист2!$B:$B,B79)</f>
        <v>642</v>
      </c>
      <c r="G79" s="7">
        <f>SUMIFS(Лист2!$E:$E,Лист2!$A:$A,A79,Лист2!$B:$B,B79)</f>
        <v>556</v>
      </c>
      <c r="H79">
        <f t="shared" si="2"/>
        <v>100478.85</v>
      </c>
      <c r="I79" s="15">
        <f t="shared" si="3"/>
        <v>19</v>
      </c>
    </row>
    <row r="80" spans="1:9" ht="14.25" customHeight="1" x14ac:dyDescent="0.2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SUMIFS(Лист2!$C:$C,Лист2!$A:$A,A80,Лист2!$B:$B,B80)</f>
        <v>10</v>
      </c>
      <c r="F80" s="7">
        <f>SUMIFS(Лист2!$D:$D,Лист2!$A:$A,A80,Лист2!$B:$B,B80)</f>
        <v>638</v>
      </c>
      <c r="G80" s="7">
        <f>SUMIFS(Лист2!$E:$E,Лист2!$A:$A,A80,Лист2!$B:$B,B80)</f>
        <v>547</v>
      </c>
      <c r="H80">
        <f t="shared" si="2"/>
        <v>95970.3</v>
      </c>
      <c r="I80" s="15">
        <f t="shared" si="3"/>
        <v>19</v>
      </c>
    </row>
    <row r="81" spans="1:9" ht="14.25" customHeight="1" x14ac:dyDescent="0.2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SUMIFS(Лист2!$C:$C,Лист2!$A:$A,A81,Лист2!$B:$B,B81)</f>
        <v>10</v>
      </c>
      <c r="F81" s="7">
        <f>SUMIFS(Лист2!$D:$D,Лист2!$A:$A,A81,Лист2!$B:$B,B81)</f>
        <v>563</v>
      </c>
      <c r="G81" s="7">
        <f>SUMIFS(Лист2!$E:$E,Лист2!$A:$A,A81,Лист2!$B:$B,B81)</f>
        <v>486</v>
      </c>
      <c r="H81">
        <f t="shared" si="2"/>
        <v>86375.4</v>
      </c>
      <c r="I81" s="15">
        <f t="shared" si="3"/>
        <v>19</v>
      </c>
    </row>
    <row r="82" spans="1:9" ht="14.25" customHeight="1" x14ac:dyDescent="0.2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SUMIFS(Лист2!$C:$C,Лист2!$A:$A,A82,Лист2!$B:$B,B82)</f>
        <v>10</v>
      </c>
      <c r="F82" s="7">
        <f>SUMIFS(Лист2!$D:$D,Лист2!$A:$A,A82,Лист2!$B:$B,B82)</f>
        <v>639</v>
      </c>
      <c r="G82" s="7">
        <f>SUMIFS(Лист2!$E:$E,Лист2!$A:$A,A82,Лист2!$B:$B,B82)</f>
        <v>557</v>
      </c>
      <c r="H82">
        <f t="shared" si="2"/>
        <v>82898.399999999994</v>
      </c>
      <c r="I82" s="15">
        <f t="shared" si="3"/>
        <v>21</v>
      </c>
    </row>
    <row r="83" spans="1:9" ht="14.25" customHeight="1" x14ac:dyDescent="0.2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SUMIFS(Лист2!$C:$C,Лист2!$A:$A,A83,Лист2!$B:$B,B83)</f>
        <v>10</v>
      </c>
      <c r="F83" s="7">
        <f>SUMIFS(Лист2!$D:$D,Лист2!$A:$A,A83,Лист2!$B:$B,B83)</f>
        <v>749</v>
      </c>
      <c r="G83" s="7">
        <f>SUMIFS(Лист2!$E:$E,Лист2!$A:$A,A83,Лист2!$B:$B,B83)</f>
        <v>655</v>
      </c>
      <c r="H83">
        <f t="shared" si="2"/>
        <v>104551.5</v>
      </c>
      <c r="I83" s="15">
        <f t="shared" si="3"/>
        <v>22</v>
      </c>
    </row>
    <row r="84" spans="1:9" ht="14.25" customHeight="1" x14ac:dyDescent="0.2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SUMIFS(Лист2!$C:$C,Лист2!$A:$A,A84,Лист2!$B:$B,B84)</f>
        <v>10</v>
      </c>
      <c r="F84" s="7">
        <f>SUMIFS(Лист2!$D:$D,Лист2!$A:$A,A84,Лист2!$B:$B,B84)</f>
        <v>865</v>
      </c>
      <c r="G84" s="7">
        <f>SUMIFS(Лист2!$E:$E,Лист2!$A:$A,A84,Лист2!$B:$B,B84)</f>
        <v>763</v>
      </c>
      <c r="H84">
        <f t="shared" si="2"/>
        <v>126048.3</v>
      </c>
      <c r="I84" s="15">
        <f t="shared" si="3"/>
        <v>22</v>
      </c>
    </row>
    <row r="85" spans="1:9" ht="14.25" customHeight="1" x14ac:dyDescent="0.2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SUMIFS(Лист2!$C:$C,Лист2!$A:$A,A85,Лист2!$B:$B,B85)</f>
        <v>10</v>
      </c>
      <c r="F85" s="7">
        <f>SUMIFS(Лист2!$D:$D,Лист2!$A:$A,A85,Лист2!$B:$B,B85)</f>
        <v>791</v>
      </c>
      <c r="G85" s="7">
        <f>SUMIFS(Лист2!$E:$E,Лист2!$A:$A,A85,Лист2!$B:$B,B85)</f>
        <v>697</v>
      </c>
      <c r="H85">
        <f t="shared" si="2"/>
        <v>111455.25</v>
      </c>
      <c r="I85" s="15">
        <f t="shared" si="3"/>
        <v>22</v>
      </c>
    </row>
    <row r="86" spans="1:9" ht="14.25" customHeight="1" x14ac:dyDescent="0.2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SUMIFS(Лист2!$C:$C,Лист2!$A:$A,A86,Лист2!$B:$B,B86)</f>
        <v>19</v>
      </c>
      <c r="F86" s="7">
        <f>SUMIFS(Лист2!$D:$D,Лист2!$A:$A,A86,Лист2!$B:$B,B86)</f>
        <v>2080</v>
      </c>
      <c r="G86" s="7">
        <f>SUMIFS(Лист2!$E:$E,Лист2!$A:$A,A86,Лист2!$B:$B,B86)</f>
        <v>1844</v>
      </c>
      <c r="H86">
        <f t="shared" si="2"/>
        <v>169606.18421052632</v>
      </c>
      <c r="I86" s="15">
        <f t="shared" si="3"/>
        <v>20</v>
      </c>
    </row>
    <row r="87" spans="1:9" ht="14.25" customHeight="1" x14ac:dyDescent="0.2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SUMIFS(Лист2!$C:$C,Лист2!$A:$A,A87,Лист2!$B:$B,B87)</f>
        <v>19</v>
      </c>
      <c r="F87" s="7">
        <f>SUMIFS(Лист2!$D:$D,Лист2!$A:$A,A87,Лист2!$B:$B,B87)</f>
        <v>1999</v>
      </c>
      <c r="G87" s="7">
        <f>SUMIFS(Лист2!$E:$E,Лист2!$A:$A,A87,Лист2!$B:$B,B87)</f>
        <v>1799</v>
      </c>
      <c r="H87">
        <f t="shared" si="2"/>
        <v>150807.23684210525</v>
      </c>
      <c r="I87" s="15">
        <f t="shared" si="3"/>
        <v>21</v>
      </c>
    </row>
    <row r="88" spans="1:9" ht="14.25" customHeight="1" x14ac:dyDescent="0.2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SUMIFS(Лист2!$C:$C,Лист2!$A:$A,A88,Лист2!$B:$B,B88)</f>
        <v>19</v>
      </c>
      <c r="F88" s="7">
        <f>SUMIFS(Лист2!$D:$D,Лист2!$A:$A,A88,Лист2!$B:$B,B88)</f>
        <v>1871</v>
      </c>
      <c r="G88" s="7">
        <f>SUMIFS(Лист2!$E:$E,Лист2!$A:$A,A88,Лист2!$B:$B,B88)</f>
        <v>1660</v>
      </c>
      <c r="H88">
        <f t="shared" si="2"/>
        <v>141804.71052631579</v>
      </c>
      <c r="I88" s="15">
        <f t="shared" si="3"/>
        <v>20</v>
      </c>
    </row>
    <row r="89" spans="1:9" ht="14.25" customHeight="1" x14ac:dyDescent="0.2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SUMIFS(Лист2!$C:$C,Лист2!$A:$A,A89,Лист2!$B:$B,B89)</f>
        <v>19</v>
      </c>
      <c r="F89" s="7">
        <f>SUMIFS(Лист2!$D:$D,Лист2!$A:$A,A89,Лист2!$B:$B,B89)</f>
        <v>1851</v>
      </c>
      <c r="G89" s="7">
        <f>SUMIFS(Лист2!$E:$E,Лист2!$A:$A,A89,Лист2!$B:$B,B89)</f>
        <v>1635</v>
      </c>
      <c r="H89">
        <f t="shared" si="2"/>
        <v>152745.63157894736</v>
      </c>
      <c r="I89" s="15">
        <f t="shared" si="3"/>
        <v>19</v>
      </c>
    </row>
    <row r="90" spans="1:9" ht="14.25" customHeight="1" x14ac:dyDescent="0.2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SUMIFS(Лист2!$C:$C,Лист2!$A:$A,A90,Лист2!$B:$B,B90)</f>
        <v>19</v>
      </c>
      <c r="F90" s="7">
        <f>SUMIFS(Лист2!$D:$D,Лист2!$A:$A,A90,Лист2!$B:$B,B90)</f>
        <v>1582</v>
      </c>
      <c r="G90" s="7">
        <f>SUMIFS(Лист2!$E:$E,Лист2!$A:$A,A90,Лист2!$B:$B,B90)</f>
        <v>1403</v>
      </c>
      <c r="H90">
        <f t="shared" si="2"/>
        <v>128998.34210526316</v>
      </c>
      <c r="I90" s="15">
        <f t="shared" si="3"/>
        <v>19</v>
      </c>
    </row>
    <row r="91" spans="1:9" ht="14.25" customHeight="1" x14ac:dyDescent="0.2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SUMIFS(Лист2!$C:$C,Лист2!$A:$A,A91,Лист2!$B:$B,B91)</f>
        <v>18</v>
      </c>
      <c r="F91" s="7">
        <f>SUMIFS(Лист2!$D:$D,Лист2!$A:$A,A91,Лист2!$B:$B,B91)</f>
        <v>1534</v>
      </c>
      <c r="G91" s="7">
        <f>SUMIFS(Лист2!$E:$E,Лист2!$A:$A,A91,Лист2!$B:$B,B91)</f>
        <v>1369</v>
      </c>
      <c r="H91">
        <f t="shared" si="2"/>
        <v>133199.33333333334</v>
      </c>
      <c r="I91" s="15">
        <f t="shared" si="3"/>
        <v>18</v>
      </c>
    </row>
    <row r="92" spans="1:9" ht="14.25" customHeight="1" x14ac:dyDescent="0.2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SUMIFS(Лист2!$C:$C,Лист2!$A:$A,A92,Лист2!$B:$B,B92)</f>
        <v>19</v>
      </c>
      <c r="F92" s="7">
        <f>SUMIFS(Лист2!$D:$D,Лист2!$A:$A,A92,Лист2!$B:$B,B92)</f>
        <v>1217</v>
      </c>
      <c r="G92" s="7">
        <f>SUMIFS(Лист2!$E:$E,Лист2!$A:$A,A92,Лист2!$B:$B,B92)</f>
        <v>1048</v>
      </c>
      <c r="H92">
        <f t="shared" si="2"/>
        <v>94696.34210526316</v>
      </c>
      <c r="I92" s="15">
        <f t="shared" si="3"/>
        <v>18</v>
      </c>
    </row>
    <row r="93" spans="1:9" ht="14.25" customHeight="1" x14ac:dyDescent="0.2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SUMIFS(Лист2!$C:$C,Лист2!$A:$A,A93,Лист2!$B:$B,B93)</f>
        <v>20</v>
      </c>
      <c r="F93" s="7">
        <f>SUMIFS(Лист2!$D:$D,Лист2!$A:$A,A93,Лист2!$B:$B,B93)</f>
        <v>2036</v>
      </c>
      <c r="G93" s="7">
        <f>SUMIFS(Лист2!$E:$E,Лист2!$A:$A,A93,Лист2!$B:$B,B93)</f>
        <v>1790</v>
      </c>
      <c r="H93">
        <f t="shared" si="2"/>
        <v>145370.54999999999</v>
      </c>
      <c r="I93" s="15">
        <f t="shared" si="3"/>
        <v>22</v>
      </c>
    </row>
    <row r="94" spans="1:9" ht="14.25" customHeight="1" x14ac:dyDescent="0.2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SUMIFS(Лист2!$C:$C,Лист2!$A:$A,A94,Лист2!$B:$B,B94)</f>
        <v>19</v>
      </c>
      <c r="F94" s="7">
        <f>SUMIFS(Лист2!$D:$D,Лист2!$A:$A,A94,Лист2!$B:$B,B94)</f>
        <v>1497</v>
      </c>
      <c r="G94" s="7">
        <f>SUMIFS(Лист2!$E:$E,Лист2!$A:$A,A94,Лист2!$B:$B,B94)</f>
        <v>1291</v>
      </c>
      <c r="H94">
        <f t="shared" si="2"/>
        <v>124966.10526315789</v>
      </c>
      <c r="I94" s="15">
        <f t="shared" si="3"/>
        <v>18</v>
      </c>
    </row>
    <row r="95" spans="1:9" ht="14.25" customHeight="1" x14ac:dyDescent="0.2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SUMIFS(Лист2!$C:$C,Лист2!$A:$A,A95,Лист2!$B:$B,B95)</f>
        <v>19</v>
      </c>
      <c r="F95" s="7">
        <f>SUMIFS(Лист2!$D:$D,Лист2!$A:$A,A95,Лист2!$B:$B,B95)</f>
        <v>1649</v>
      </c>
      <c r="G95" s="7">
        <f>SUMIFS(Лист2!$E:$E,Лист2!$A:$A,A95,Лист2!$B:$B,B95)</f>
        <v>1460</v>
      </c>
      <c r="H95">
        <f t="shared" si="2"/>
        <v>124759.57894736843</v>
      </c>
      <c r="I95" s="15">
        <f t="shared" si="3"/>
        <v>20</v>
      </c>
    </row>
    <row r="96" spans="1:9" ht="14.25" customHeight="1" x14ac:dyDescent="0.2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SUMIFS(Лист2!$C:$C,Лист2!$A:$A,A96,Лист2!$B:$B,B96)</f>
        <v>19</v>
      </c>
      <c r="F96" s="7">
        <f>SUMIFS(Лист2!$D:$D,Лист2!$A:$A,A96,Лист2!$B:$B,B96)</f>
        <v>1949</v>
      </c>
      <c r="G96" s="7">
        <f>SUMIFS(Лист2!$E:$E,Лист2!$A:$A,A96,Лист2!$B:$B,B96)</f>
        <v>1724</v>
      </c>
      <c r="H96">
        <f t="shared" si="2"/>
        <v>150167.44736842104</v>
      </c>
      <c r="I96" s="15">
        <f t="shared" si="3"/>
        <v>21</v>
      </c>
    </row>
    <row r="97" spans="1:9" ht="14.25" customHeight="1" x14ac:dyDescent="0.2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SUMIFS(Лист2!$C:$C,Лист2!$A:$A,A97,Лист2!$B:$B,B97)</f>
        <v>19</v>
      </c>
      <c r="F97" s="7">
        <f>SUMIFS(Лист2!$D:$D,Лист2!$A:$A,A97,Лист2!$B:$B,B97)</f>
        <v>1889</v>
      </c>
      <c r="G97" s="7">
        <f>SUMIFS(Лист2!$E:$E,Лист2!$A:$A,A97,Лист2!$B:$B,B97)</f>
        <v>1690</v>
      </c>
      <c r="H97">
        <f t="shared" si="2"/>
        <v>141696.31578947368</v>
      </c>
      <c r="I97" s="15">
        <f t="shared" si="3"/>
        <v>21</v>
      </c>
    </row>
    <row r="98" spans="1:9" ht="14.25" customHeight="1" x14ac:dyDescent="0.2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SUMIFS(Лист2!$C:$C,Лист2!$A:$A,A98,Лист2!$B:$B,B98)</f>
        <v>19</v>
      </c>
      <c r="F98" s="7">
        <f>SUMIFS(Лист2!$D:$D,Лист2!$A:$A,A98,Лист2!$B:$B,B98)</f>
        <v>1417</v>
      </c>
      <c r="G98" s="7">
        <f>SUMIFS(Лист2!$E:$E,Лист2!$A:$A,A98,Лист2!$B:$B,B98)</f>
        <v>1245</v>
      </c>
      <c r="H98">
        <f t="shared" si="2"/>
        <v>109468.42105263157</v>
      </c>
      <c r="I98" s="15">
        <f t="shared" si="3"/>
        <v>19</v>
      </c>
    </row>
    <row r="99" spans="1:9" ht="14.25" customHeight="1" x14ac:dyDescent="0.2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SUMIFS(Лист2!$C:$C,Лист2!$A:$A,A99,Лист2!$B:$B,B99)</f>
        <v>17</v>
      </c>
      <c r="F99" s="7">
        <f>SUMIFS(Лист2!$D:$D,Лист2!$A:$A,A99,Лист2!$B:$B,B99)</f>
        <v>1439</v>
      </c>
      <c r="G99" s="7">
        <f>SUMIFS(Лист2!$E:$E,Лист2!$A:$A,A99,Лист2!$B:$B,B99)</f>
        <v>1265</v>
      </c>
      <c r="H99">
        <f t="shared" si="2"/>
        <v>125695.14705882352</v>
      </c>
      <c r="I99" s="15">
        <f t="shared" si="3"/>
        <v>18</v>
      </c>
    </row>
    <row r="100" spans="1:9" ht="14.25" customHeight="1" x14ac:dyDescent="0.2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SUMIFS(Лист2!$C:$C,Лист2!$A:$A,A100,Лист2!$B:$B,B100)</f>
        <v>19</v>
      </c>
      <c r="F100" s="7">
        <f>SUMIFS(Лист2!$D:$D,Лист2!$A:$A,A100,Лист2!$B:$B,B100)</f>
        <v>1625</v>
      </c>
      <c r="G100" s="7">
        <f>SUMIFS(Лист2!$E:$E,Лист2!$A:$A,A100,Лист2!$B:$B,B100)</f>
        <v>1444</v>
      </c>
      <c r="H100">
        <f t="shared" si="2"/>
        <v>124912.5</v>
      </c>
      <c r="I100" s="15">
        <f t="shared" si="3"/>
        <v>20</v>
      </c>
    </row>
    <row r="101" spans="1:9" ht="14.25" customHeight="1" x14ac:dyDescent="0.2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SUMIFS(Лист2!$C:$C,Лист2!$A:$A,A101,Лист2!$B:$B,B101)</f>
        <v>19</v>
      </c>
      <c r="F101" s="7">
        <f>SUMIFS(Лист2!$D:$D,Лист2!$A:$A,A101,Лист2!$B:$B,B101)</f>
        <v>1402</v>
      </c>
      <c r="G101" s="7">
        <f>SUMIFS(Лист2!$E:$E,Лист2!$A:$A,A101,Лист2!$B:$B,B101)</f>
        <v>1234</v>
      </c>
      <c r="H101">
        <f t="shared" si="2"/>
        <v>114226.81578947368</v>
      </c>
      <c r="I101" s="15">
        <f t="shared" si="3"/>
        <v>18</v>
      </c>
    </row>
    <row r="102" spans="1:9" ht="14.25" customHeight="1" x14ac:dyDescent="0.2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SUMIFS(Лист2!$C:$C,Лист2!$A:$A,A102,Лист2!$B:$B,B102)</f>
        <v>19</v>
      </c>
      <c r="F102" s="7">
        <f>SUMIFS(Лист2!$D:$D,Лист2!$A:$A,A102,Лист2!$B:$B,B102)</f>
        <v>1499</v>
      </c>
      <c r="G102" s="7">
        <f>SUMIFS(Лист2!$E:$E,Лист2!$A:$A,A102,Лист2!$B:$B,B102)</f>
        <v>1323</v>
      </c>
      <c r="H102">
        <f t="shared" si="2"/>
        <v>117501</v>
      </c>
      <c r="I102" s="15">
        <f t="shared" si="3"/>
        <v>19</v>
      </c>
    </row>
    <row r="103" spans="1:9" ht="14.25" customHeight="1" x14ac:dyDescent="0.2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SUMIFS(Лист2!$C:$C,Лист2!$A:$A,A103,Лист2!$B:$B,B103)</f>
        <v>20</v>
      </c>
      <c r="F103" s="7">
        <f>SUMIFS(Лист2!$D:$D,Лист2!$A:$A,A103,Лист2!$B:$B,B103)</f>
        <v>2266</v>
      </c>
      <c r="G103" s="7">
        <f>SUMIFS(Лист2!$E:$E,Лист2!$A:$A,A103,Лист2!$B:$B,B103)</f>
        <v>1993</v>
      </c>
      <c r="H103">
        <f t="shared" si="2"/>
        <v>169268.625</v>
      </c>
      <c r="I103" s="15">
        <f t="shared" si="3"/>
        <v>21</v>
      </c>
    </row>
    <row r="104" spans="1:9" ht="14.25" customHeight="1" x14ac:dyDescent="0.2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SUMIFS(Лист2!$C:$C,Лист2!$A:$A,A104,Лист2!$B:$B,B104)</f>
        <v>20</v>
      </c>
      <c r="F104" s="7">
        <f>SUMIFS(Лист2!$D:$D,Лист2!$A:$A,A104,Лист2!$B:$B,B104)</f>
        <v>2011</v>
      </c>
      <c r="G104" s="7">
        <f>SUMIFS(Лист2!$E:$E,Лист2!$A:$A,A104,Лист2!$B:$B,B104)</f>
        <v>1791</v>
      </c>
      <c r="H104">
        <f t="shared" si="2"/>
        <v>143286.375</v>
      </c>
      <c r="I104" s="15">
        <f t="shared" si="3"/>
        <v>22</v>
      </c>
    </row>
    <row r="105" spans="1:9" ht="14.25" customHeight="1" x14ac:dyDescent="0.2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SUMIFS(Лист2!$C:$C,Лист2!$A:$A,A105,Лист2!$B:$B,B105)</f>
        <v>19</v>
      </c>
      <c r="F105" s="7">
        <f>SUMIFS(Лист2!$D:$D,Лист2!$A:$A,A105,Лист2!$B:$B,B105)</f>
        <v>1499</v>
      </c>
      <c r="G105" s="7">
        <f>SUMIFS(Лист2!$E:$E,Лист2!$A:$A,A105,Лист2!$B:$B,B105)</f>
        <v>1322</v>
      </c>
      <c r="H105">
        <f t="shared" si="2"/>
        <v>119350.73684210527</v>
      </c>
      <c r="I105" s="15">
        <f t="shared" si="3"/>
        <v>18</v>
      </c>
    </row>
    <row r="106" spans="1:9" ht="14.25" customHeight="1" x14ac:dyDescent="0.2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SUMIFS(Лист2!$C:$C,Лист2!$A:$A,A106,Лист2!$B:$B,B106)</f>
        <v>19</v>
      </c>
      <c r="F106" s="7">
        <f>SUMIFS(Лист2!$D:$D,Лист2!$A:$A,A106,Лист2!$B:$B,B106)</f>
        <v>1848</v>
      </c>
      <c r="G106" s="7">
        <f>SUMIFS(Лист2!$E:$E,Лист2!$A:$A,A106,Лист2!$B:$B,B106)</f>
        <v>1649</v>
      </c>
      <c r="H106">
        <f t="shared" si="2"/>
        <v>150647.28947368421</v>
      </c>
      <c r="I106" s="15">
        <f t="shared" si="3"/>
        <v>19</v>
      </c>
    </row>
    <row r="107" spans="1:9" ht="14.25" customHeight="1" x14ac:dyDescent="0.2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SUMIFS(Лист2!$C:$C,Лист2!$A:$A,A107,Лист2!$B:$B,B107)</f>
        <v>19</v>
      </c>
      <c r="F107" s="7">
        <f>SUMIFS(Лист2!$D:$D,Лист2!$A:$A,A107,Лист2!$B:$B,B107)</f>
        <v>1522</v>
      </c>
      <c r="G107" s="7">
        <f>SUMIFS(Лист2!$E:$E,Лист2!$A:$A,A107,Лист2!$B:$B,B107)</f>
        <v>1340</v>
      </c>
      <c r="H107">
        <f t="shared" si="2"/>
        <v>119550.23684210527</v>
      </c>
      <c r="I107" s="15">
        <f t="shared" si="3"/>
        <v>19</v>
      </c>
    </row>
    <row r="108" spans="1:9" ht="14.25" customHeight="1" x14ac:dyDescent="0.2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SUMIFS(Лист2!$C:$C,Лист2!$A:$A,A108,Лист2!$B:$B,B108)</f>
        <v>19</v>
      </c>
      <c r="F108" s="7">
        <f>SUMIFS(Лист2!$D:$D,Лист2!$A:$A,A108,Лист2!$B:$B,B108)</f>
        <v>1530</v>
      </c>
      <c r="G108" s="7">
        <f>SUMIFS(Лист2!$E:$E,Лист2!$A:$A,A108,Лист2!$B:$B,B108)</f>
        <v>1338</v>
      </c>
      <c r="H108">
        <f t="shared" si="2"/>
        <v>123719.60526315789</v>
      </c>
      <c r="I108" s="15">
        <f t="shared" si="3"/>
        <v>19</v>
      </c>
    </row>
    <row r="109" spans="1:9" ht="14.25" customHeight="1" x14ac:dyDescent="0.2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SUMIFS(Лист2!$C:$C,Лист2!$A:$A,A109,Лист2!$B:$B,B109)</f>
        <v>20</v>
      </c>
      <c r="F109" s="7">
        <f>SUMIFS(Лист2!$D:$D,Лист2!$A:$A,A109,Лист2!$B:$B,B109)</f>
        <v>2015</v>
      </c>
      <c r="G109" s="7">
        <f>SUMIFS(Лист2!$E:$E,Лист2!$A:$A,A109,Лист2!$B:$B,B109)</f>
        <v>1803</v>
      </c>
      <c r="H109">
        <f t="shared" si="2"/>
        <v>145776.67499999999</v>
      </c>
      <c r="I109" s="15">
        <f t="shared" si="3"/>
        <v>21</v>
      </c>
    </row>
    <row r="110" spans="1:9" ht="14.25" customHeight="1" x14ac:dyDescent="0.2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SUMIFS(Лист2!$C:$C,Лист2!$A:$A,A110,Лист2!$B:$B,B110)</f>
        <v>20</v>
      </c>
      <c r="F110" s="7">
        <f>SUMIFS(Лист2!$D:$D,Лист2!$A:$A,A110,Лист2!$B:$B,B110)</f>
        <v>2060</v>
      </c>
      <c r="G110" s="7">
        <f>SUMIFS(Лист2!$E:$E,Лист2!$A:$A,A110,Лист2!$B:$B,B110)</f>
        <v>1826</v>
      </c>
      <c r="H110">
        <f t="shared" si="2"/>
        <v>149599.95000000001</v>
      </c>
      <c r="I110" s="15">
        <f t="shared" si="3"/>
        <v>22</v>
      </c>
    </row>
    <row r="111" spans="1:9" ht="14.25" customHeight="1" x14ac:dyDescent="0.2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SUMIFS(Лист2!$C:$C,Лист2!$A:$A,A111,Лист2!$B:$B,B111)</f>
        <v>20</v>
      </c>
      <c r="F111" s="7">
        <f>SUMIFS(Лист2!$D:$D,Лист2!$A:$A,A111,Лист2!$B:$B,B111)</f>
        <v>2451</v>
      </c>
      <c r="G111" s="7">
        <f>SUMIFS(Лист2!$E:$E,Лист2!$A:$A,A111,Лист2!$B:$B,B111)</f>
        <v>2178</v>
      </c>
      <c r="H111">
        <f t="shared" si="2"/>
        <v>182708.32500000001</v>
      </c>
      <c r="I111" s="15">
        <f t="shared" si="3"/>
        <v>22</v>
      </c>
    </row>
    <row r="112" spans="1:9" ht="14.25" customHeight="1" x14ac:dyDescent="0.2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SUMIFS(Лист2!$C:$C,Лист2!$A:$A,A112,Лист2!$B:$B,B112)</f>
        <v>20</v>
      </c>
      <c r="F112" s="7">
        <f>SUMIFS(Лист2!$D:$D,Лист2!$A:$A,A112,Лист2!$B:$B,B112)</f>
        <v>2088</v>
      </c>
      <c r="G112" s="7">
        <f>SUMIFS(Лист2!$E:$E,Лист2!$A:$A,A112,Лист2!$B:$B,B112)</f>
        <v>1848</v>
      </c>
      <c r="H112">
        <f t="shared" si="2"/>
        <v>150210.67499999999</v>
      </c>
      <c r="I112" s="15">
        <f t="shared" si="3"/>
        <v>22</v>
      </c>
    </row>
    <row r="113" spans="1:9" ht="14.25" customHeight="1" x14ac:dyDescent="0.2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SUMIFS(Лист2!$C:$C,Лист2!$A:$A,A113,Лист2!$B:$B,B113)</f>
        <v>129</v>
      </c>
      <c r="F113" s="7">
        <f>SUMIFS(Лист2!$D:$D,Лист2!$A:$A,A113,Лист2!$B:$B,B113)</f>
        <v>17914</v>
      </c>
      <c r="G113" s="7">
        <f>SUMIFS(Лист2!$E:$E,Лист2!$A:$A,A113,Лист2!$B:$B,B113)</f>
        <v>16631</v>
      </c>
      <c r="H113">
        <f t="shared" si="2"/>
        <v>249890.41860465117</v>
      </c>
      <c r="I113" s="15">
        <f t="shared" si="3"/>
        <v>20</v>
      </c>
    </row>
    <row r="114" spans="1:9" ht="14.25" customHeight="1" x14ac:dyDescent="0.2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SUMIFS(Лист2!$C:$C,Лист2!$A:$A,A114,Лист2!$B:$B,B114)</f>
        <v>129</v>
      </c>
      <c r="F114" s="7">
        <f>SUMIFS(Лист2!$D:$D,Лист2!$A:$A,A114,Лист2!$B:$B,B114)</f>
        <v>16191</v>
      </c>
      <c r="G114" s="7">
        <f>SUMIFS(Лист2!$E:$E,Лист2!$A:$A,A114,Лист2!$B:$B,B114)</f>
        <v>15102</v>
      </c>
      <c r="H114">
        <f t="shared" si="2"/>
        <v>210028.09302325582</v>
      </c>
      <c r="I114" s="15">
        <f t="shared" si="3"/>
        <v>21</v>
      </c>
    </row>
    <row r="115" spans="1:9" ht="14.25" customHeight="1" x14ac:dyDescent="0.2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SUMIFS(Лист2!$C:$C,Лист2!$A:$A,A115,Лист2!$B:$B,B115)</f>
        <v>129</v>
      </c>
      <c r="F115" s="7">
        <f>SUMIFS(Лист2!$D:$D,Лист2!$A:$A,A115,Лист2!$B:$B,B115)</f>
        <v>15744</v>
      </c>
      <c r="G115" s="7">
        <f>SUMIFS(Лист2!$E:$E,Лист2!$A:$A,A115,Лист2!$B:$B,B115)</f>
        <v>14685</v>
      </c>
      <c r="H115">
        <f t="shared" si="2"/>
        <v>206666.12790697673</v>
      </c>
      <c r="I115" s="15">
        <f t="shared" si="3"/>
        <v>20</v>
      </c>
    </row>
    <row r="116" spans="1:9" ht="14.25" customHeight="1" x14ac:dyDescent="0.2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SUMIFS(Лист2!$C:$C,Лист2!$A:$A,A116,Лист2!$B:$B,B116)</f>
        <v>129</v>
      </c>
      <c r="F116" s="7">
        <f>SUMIFS(Лист2!$D:$D,Лист2!$A:$A,A116,Лист2!$B:$B,B116)</f>
        <v>16420</v>
      </c>
      <c r="G116" s="7">
        <f>SUMIFS(Лист2!$E:$E,Лист2!$A:$A,A116,Лист2!$B:$B,B116)</f>
        <v>15169</v>
      </c>
      <c r="H116">
        <f t="shared" si="2"/>
        <v>230761.23255813954</v>
      </c>
      <c r="I116" s="15">
        <f t="shared" si="3"/>
        <v>19</v>
      </c>
    </row>
    <row r="117" spans="1:9" ht="14.25" customHeight="1" x14ac:dyDescent="0.2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SUMIFS(Лист2!$C:$C,Лист2!$A:$A,A117,Лист2!$B:$B,B117)</f>
        <v>129</v>
      </c>
      <c r="F117" s="7">
        <f>SUMIFS(Лист2!$D:$D,Лист2!$A:$A,A117,Лист2!$B:$B,B117)</f>
        <v>16525</v>
      </c>
      <c r="G117" s="7">
        <f>SUMIFS(Лист2!$E:$E,Лист2!$A:$A,A117,Лист2!$B:$B,B117)</f>
        <v>15310</v>
      </c>
      <c r="H117">
        <f t="shared" si="2"/>
        <v>227580.93023255814</v>
      </c>
      <c r="I117" s="15">
        <f t="shared" si="3"/>
        <v>19</v>
      </c>
    </row>
    <row r="118" spans="1:9" ht="14.25" customHeight="1" x14ac:dyDescent="0.2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SUMIFS(Лист2!$C:$C,Лист2!$A:$A,A118,Лист2!$B:$B,B118)</f>
        <v>128</v>
      </c>
      <c r="F118" s="7">
        <f>SUMIFS(Лист2!$D:$D,Лист2!$A:$A,A118,Лист2!$B:$B,B118)</f>
        <v>17368</v>
      </c>
      <c r="G118" s="7">
        <f>SUMIFS(Лист2!$E:$E,Лист2!$A:$A,A118,Лист2!$B:$B,B118)</f>
        <v>16077</v>
      </c>
      <c r="H118">
        <f t="shared" si="2"/>
        <v>241166.30859375</v>
      </c>
      <c r="I118" s="15">
        <f t="shared" si="3"/>
        <v>18</v>
      </c>
    </row>
    <row r="119" spans="1:9" ht="14.25" customHeight="1" x14ac:dyDescent="0.2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SUMIFS(Лист2!$C:$C,Лист2!$A:$A,A119,Лист2!$B:$B,B119)</f>
        <v>129</v>
      </c>
      <c r="F119" s="7">
        <f>SUMIFS(Лист2!$D:$D,Лист2!$A:$A,A119,Лист2!$B:$B,B119)</f>
        <v>14009</v>
      </c>
      <c r="G119" s="7">
        <f>SUMIFS(Лист2!$E:$E,Лист2!$A:$A,A119,Лист2!$B:$B,B119)</f>
        <v>12920</v>
      </c>
      <c r="H119">
        <f t="shared" si="2"/>
        <v>188697.8023255814</v>
      </c>
      <c r="I119" s="15">
        <f t="shared" si="3"/>
        <v>18</v>
      </c>
    </row>
    <row r="120" spans="1:9" ht="14.25" customHeight="1" x14ac:dyDescent="0.2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SUMIFS(Лист2!$C:$C,Лист2!$A:$A,A120,Лист2!$B:$B,B120)</f>
        <v>129</v>
      </c>
      <c r="F120" s="7">
        <f>SUMIFS(Лист2!$D:$D,Лист2!$A:$A,A120,Лист2!$B:$B,B120)</f>
        <v>16459</v>
      </c>
      <c r="G120" s="7">
        <f>SUMIFS(Лист2!$E:$E,Лист2!$A:$A,A120,Лист2!$B:$B,B120)</f>
        <v>15355</v>
      </c>
      <c r="H120">
        <f t="shared" si="2"/>
        <v>216066.80541744188</v>
      </c>
      <c r="I120" s="15">
        <f t="shared" si="3"/>
        <v>22</v>
      </c>
    </row>
    <row r="121" spans="1:9" ht="14.25" customHeight="1" x14ac:dyDescent="0.2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SUMIFS(Лист2!$C:$C,Лист2!$A:$A,A121,Лист2!$B:$B,B121)</f>
        <v>129</v>
      </c>
      <c r="F121" s="7">
        <f>SUMIFS(Лист2!$D:$D,Лист2!$A:$A,A121,Лист2!$B:$B,B121)</f>
        <v>17002</v>
      </c>
      <c r="G121" s="7">
        <f>SUMIFS(Лист2!$E:$E,Лист2!$A:$A,A121,Лист2!$B:$B,B121)</f>
        <v>15570</v>
      </c>
      <c r="H121">
        <f t="shared" si="2"/>
        <v>240723.38372093023</v>
      </c>
      <c r="I121" s="15">
        <f t="shared" si="3"/>
        <v>18</v>
      </c>
    </row>
    <row r="122" spans="1:9" ht="14.25" customHeight="1" x14ac:dyDescent="0.2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SUMIFS(Лист2!$C:$C,Лист2!$A:$A,A122,Лист2!$B:$B,B122)</f>
        <v>129</v>
      </c>
      <c r="F122" s="7">
        <f>SUMIFS(Лист2!$D:$D,Лист2!$A:$A,A122,Лист2!$B:$B,B122)</f>
        <v>16387</v>
      </c>
      <c r="G122" s="7">
        <f>SUMIFS(Лист2!$E:$E,Лист2!$A:$A,A122,Лист2!$B:$B,B122)</f>
        <v>15322</v>
      </c>
      <c r="H122">
        <f t="shared" si="2"/>
        <v>225135.81395348837</v>
      </c>
      <c r="I122" s="15">
        <f t="shared" si="3"/>
        <v>20</v>
      </c>
    </row>
    <row r="123" spans="1:9" ht="14.25" customHeight="1" x14ac:dyDescent="0.2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SUMIFS(Лист2!$C:$C,Лист2!$A:$A,A123,Лист2!$B:$B,B123)</f>
        <v>129</v>
      </c>
      <c r="F123" s="7">
        <f>SUMIFS(Лист2!$D:$D,Лист2!$A:$A,A123,Лист2!$B:$B,B123)</f>
        <v>16373</v>
      </c>
      <c r="G123" s="7">
        <f>SUMIFS(Лист2!$E:$E,Лист2!$A:$A,A123,Лист2!$B:$B,B123)</f>
        <v>15223</v>
      </c>
      <c r="H123">
        <f t="shared" si="2"/>
        <v>215913.95348837209</v>
      </c>
      <c r="I123" s="15">
        <f t="shared" si="3"/>
        <v>21</v>
      </c>
    </row>
    <row r="124" spans="1:9" ht="14.25" customHeight="1" x14ac:dyDescent="0.2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SUMIFS(Лист2!$C:$C,Лист2!$A:$A,A124,Лист2!$B:$B,B124)</f>
        <v>129</v>
      </c>
      <c r="F124" s="7">
        <f>SUMIFS(Лист2!$D:$D,Лист2!$A:$A,A124,Лист2!$B:$B,B124)</f>
        <v>17095</v>
      </c>
      <c r="G124" s="7">
        <f>SUMIFS(Лист2!$E:$E,Лист2!$A:$A,A124,Лист2!$B:$B,B124)</f>
        <v>15919</v>
      </c>
      <c r="H124">
        <f t="shared" si="2"/>
        <v>227664.8962593023</v>
      </c>
      <c r="I124" s="15">
        <f t="shared" si="3"/>
        <v>21</v>
      </c>
    </row>
    <row r="125" spans="1:9" ht="14.25" customHeight="1" x14ac:dyDescent="0.2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SUMIFS(Лист2!$C:$C,Лист2!$A:$A,A125,Лист2!$B:$B,B125)</f>
        <v>129</v>
      </c>
      <c r="F125" s="7">
        <f>SUMIFS(Лист2!$D:$D,Лист2!$A:$A,A125,Лист2!$B:$B,B125)</f>
        <v>15665</v>
      </c>
      <c r="G125" s="7">
        <f>SUMIFS(Лист2!$E:$E,Лист2!$A:$A,A125,Лист2!$B:$B,B125)</f>
        <v>14501</v>
      </c>
      <c r="H125">
        <f t="shared" si="2"/>
        <v>211460.78406976743</v>
      </c>
      <c r="I125" s="15">
        <f t="shared" si="3"/>
        <v>19</v>
      </c>
    </row>
    <row r="126" spans="1:9" ht="14.25" customHeight="1" x14ac:dyDescent="0.2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SUMIFS(Лист2!$C:$C,Лист2!$A:$A,A126,Лист2!$B:$B,B126)</f>
        <v>128</v>
      </c>
      <c r="F126" s="7">
        <f>SUMIFS(Лист2!$D:$D,Лист2!$A:$A,A126,Лист2!$B:$B,B126)</f>
        <v>16450</v>
      </c>
      <c r="G126" s="7">
        <f>SUMIFS(Лист2!$E:$E,Лист2!$A:$A,A126,Лист2!$B:$B,B126)</f>
        <v>15320</v>
      </c>
      <c r="H126">
        <f t="shared" si="2"/>
        <v>227804.94140625</v>
      </c>
      <c r="I126" s="15">
        <f t="shared" si="3"/>
        <v>18</v>
      </c>
    </row>
    <row r="127" spans="1:9" ht="14.25" customHeight="1" x14ac:dyDescent="0.2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SUMIFS(Лист2!$C:$C,Лист2!$A:$A,A127,Лист2!$B:$B,B127)</f>
        <v>129</v>
      </c>
      <c r="F127" s="7">
        <f>SUMIFS(Лист2!$D:$D,Лист2!$A:$A,A127,Лист2!$B:$B,B127)</f>
        <v>15304</v>
      </c>
      <c r="G127" s="7">
        <f>SUMIFS(Лист2!$E:$E,Лист2!$A:$A,A127,Лист2!$B:$B,B127)</f>
        <v>14315</v>
      </c>
      <c r="H127">
        <f t="shared" si="2"/>
        <v>205174.05813953487</v>
      </c>
      <c r="I127" s="15">
        <f t="shared" si="3"/>
        <v>20</v>
      </c>
    </row>
    <row r="128" spans="1:9" ht="14.25" customHeight="1" x14ac:dyDescent="0.2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SUMIFS(Лист2!$C:$C,Лист2!$A:$A,A128,Лист2!$B:$B,B128)</f>
        <v>129</v>
      </c>
      <c r="F128" s="7">
        <f>SUMIFS(Лист2!$D:$D,Лист2!$A:$A,A128,Лист2!$B:$B,B128)</f>
        <v>15778</v>
      </c>
      <c r="G128" s="7">
        <f>SUMIFS(Лист2!$E:$E,Лист2!$A:$A,A128,Лист2!$B:$B,B128)</f>
        <v>14624</v>
      </c>
      <c r="H128">
        <f t="shared" si="2"/>
        <v>220364.34883720931</v>
      </c>
      <c r="I128" s="15">
        <f t="shared" si="3"/>
        <v>18</v>
      </c>
    </row>
    <row r="129" spans="1:9" ht="14.25" customHeight="1" x14ac:dyDescent="0.2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SUMIFS(Лист2!$C:$C,Лист2!$A:$A,A129,Лист2!$B:$B,B129)</f>
        <v>129</v>
      </c>
      <c r="F129" s="7">
        <f>SUMIFS(Лист2!$D:$D,Лист2!$A:$A,A129,Лист2!$B:$B,B129)</f>
        <v>16376</v>
      </c>
      <c r="G129" s="7">
        <f>SUMIFS(Лист2!$E:$E,Лист2!$A:$A,A129,Лист2!$B:$B,B129)</f>
        <v>15197</v>
      </c>
      <c r="H129">
        <f t="shared" si="2"/>
        <v>223029.53570232558</v>
      </c>
      <c r="I129" s="15">
        <f t="shared" si="3"/>
        <v>19</v>
      </c>
    </row>
    <row r="130" spans="1:9" ht="14.25" customHeight="1" x14ac:dyDescent="0.2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SUMIFS(Лист2!$C:$C,Лист2!$A:$A,A130,Лист2!$B:$B,B130)</f>
        <v>129</v>
      </c>
      <c r="F130" s="7">
        <f>SUMIFS(Лист2!$D:$D,Лист2!$A:$A,A130,Лист2!$B:$B,B130)</f>
        <v>19856</v>
      </c>
      <c r="G130" s="7">
        <f>SUMIFS(Лист2!$E:$E,Лист2!$A:$A,A130,Лист2!$B:$B,B130)</f>
        <v>18325</v>
      </c>
      <c r="H130">
        <f t="shared" si="2"/>
        <v>272123.46288023255</v>
      </c>
      <c r="I130" s="15">
        <f t="shared" si="3"/>
        <v>21</v>
      </c>
    </row>
    <row r="131" spans="1:9" ht="14.25" customHeight="1" x14ac:dyDescent="0.2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SUMIFS(Лист2!$C:$C,Лист2!$A:$A,A131,Лист2!$B:$B,B131)</f>
        <v>129</v>
      </c>
      <c r="F131" s="7">
        <f>SUMIFS(Лист2!$D:$D,Лист2!$A:$A,A131,Лист2!$B:$B,B131)</f>
        <v>15822</v>
      </c>
      <c r="G131" s="7">
        <f>SUMIFS(Лист2!$E:$E,Лист2!$A:$A,A131,Лист2!$B:$B,B131)</f>
        <v>14753</v>
      </c>
      <c r="H131">
        <f t="shared" ref="H131:H194" si="4">D131/E131</f>
        <v>210588.47674418605</v>
      </c>
      <c r="I131" s="15">
        <f t="shared" ref="I131:I194" si="5">WEEKNUM(A131,2)</f>
        <v>22</v>
      </c>
    </row>
    <row r="132" spans="1:9" ht="14.25" customHeight="1" x14ac:dyDescent="0.2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SUMIFS(Лист2!$C:$C,Лист2!$A:$A,A132,Лист2!$B:$B,B132)</f>
        <v>129</v>
      </c>
      <c r="F132" s="7">
        <f>SUMIFS(Лист2!$D:$D,Лист2!$A:$A,A132,Лист2!$B:$B,B132)</f>
        <v>18042</v>
      </c>
      <c r="G132" s="7">
        <f>SUMIFS(Лист2!$E:$E,Лист2!$A:$A,A132,Лист2!$B:$B,B132)</f>
        <v>16631</v>
      </c>
      <c r="H132">
        <f t="shared" si="4"/>
        <v>251309.13953488372</v>
      </c>
      <c r="I132" s="15">
        <f t="shared" si="5"/>
        <v>18</v>
      </c>
    </row>
    <row r="133" spans="1:9" ht="14.25" customHeight="1" x14ac:dyDescent="0.2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SUMIFS(Лист2!$C:$C,Лист2!$A:$A,A133,Лист2!$B:$B,B133)</f>
        <v>129</v>
      </c>
      <c r="F133" s="7">
        <f>SUMIFS(Лист2!$D:$D,Лист2!$A:$A,A133,Лист2!$B:$B,B133)</f>
        <v>16437</v>
      </c>
      <c r="G133" s="7">
        <f>SUMIFS(Лист2!$E:$E,Лист2!$A:$A,A133,Лист2!$B:$B,B133)</f>
        <v>15285</v>
      </c>
      <c r="H133">
        <f t="shared" si="4"/>
        <v>228962.6054732558</v>
      </c>
      <c r="I133" s="15">
        <f t="shared" si="5"/>
        <v>19</v>
      </c>
    </row>
    <row r="134" spans="1:9" ht="14.25" customHeight="1" x14ac:dyDescent="0.2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SUMIFS(Лист2!$C:$C,Лист2!$A:$A,A134,Лист2!$B:$B,B134)</f>
        <v>129</v>
      </c>
      <c r="F134" s="7">
        <f>SUMIFS(Лист2!$D:$D,Лист2!$A:$A,A134,Лист2!$B:$B,B134)</f>
        <v>20452</v>
      </c>
      <c r="G134" s="7">
        <f>SUMIFS(Лист2!$E:$E,Лист2!$A:$A,A134,Лист2!$B:$B,B134)</f>
        <v>18857</v>
      </c>
      <c r="H134">
        <f t="shared" si="4"/>
        <v>295283.38372093026</v>
      </c>
      <c r="I134" s="15">
        <f t="shared" si="5"/>
        <v>19</v>
      </c>
    </row>
    <row r="135" spans="1:9" ht="14.25" customHeight="1" x14ac:dyDescent="0.2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SUMIFS(Лист2!$C:$C,Лист2!$A:$A,A135,Лист2!$B:$B,B135)</f>
        <v>129</v>
      </c>
      <c r="F135" s="7">
        <f>SUMIFS(Лист2!$D:$D,Лист2!$A:$A,A135,Лист2!$B:$B,B135)</f>
        <v>14582</v>
      </c>
      <c r="G135" s="7">
        <f>SUMIFS(Лист2!$E:$E,Лист2!$A:$A,A135,Лист2!$B:$B,B135)</f>
        <v>13512</v>
      </c>
      <c r="H135">
        <f t="shared" si="4"/>
        <v>196319.93023255814</v>
      </c>
      <c r="I135" s="15">
        <f t="shared" si="5"/>
        <v>19</v>
      </c>
    </row>
    <row r="136" spans="1:9" ht="14.25" customHeight="1" x14ac:dyDescent="0.2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SUMIFS(Лист2!$C:$C,Лист2!$A:$A,A136,Лист2!$B:$B,B136)</f>
        <v>129</v>
      </c>
      <c r="F136" s="7">
        <f>SUMIFS(Лист2!$D:$D,Лист2!$A:$A,A136,Лист2!$B:$B,B136)</f>
        <v>16432</v>
      </c>
      <c r="G136" s="7">
        <f>SUMIFS(Лист2!$E:$E,Лист2!$A:$A,A136,Лист2!$B:$B,B136)</f>
        <v>15345</v>
      </c>
      <c r="H136">
        <f t="shared" si="4"/>
        <v>218515.76744186046</v>
      </c>
      <c r="I136" s="15">
        <f t="shared" si="5"/>
        <v>21</v>
      </c>
    </row>
    <row r="137" spans="1:9" ht="14.25" customHeight="1" x14ac:dyDescent="0.2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SUMIFS(Лист2!$C:$C,Лист2!$A:$A,A137,Лист2!$B:$B,B137)</f>
        <v>125</v>
      </c>
      <c r="F137" s="7">
        <f>SUMIFS(Лист2!$D:$D,Лист2!$A:$A,A137,Лист2!$B:$B,B137)</f>
        <v>22291</v>
      </c>
      <c r="G137" s="7">
        <f>SUMIFS(Лист2!$E:$E,Лист2!$A:$A,A137,Лист2!$B:$B,B137)</f>
        <v>20635</v>
      </c>
      <c r="H137">
        <f t="shared" si="4"/>
        <v>338589.04800000001</v>
      </c>
      <c r="I137" s="15">
        <f t="shared" si="5"/>
        <v>20</v>
      </c>
    </row>
    <row r="138" spans="1:9" ht="14.25" customHeight="1" x14ac:dyDescent="0.2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SUMIFS(Лист2!$C:$C,Лист2!$A:$A,A138,Лист2!$B:$B,B138)</f>
        <v>125</v>
      </c>
      <c r="F138" s="7">
        <f>SUMIFS(Лист2!$D:$D,Лист2!$A:$A,A138,Лист2!$B:$B,B138)</f>
        <v>20771</v>
      </c>
      <c r="G138" s="7">
        <f>SUMIFS(Лист2!$E:$E,Лист2!$A:$A,A138,Лист2!$B:$B,B138)</f>
        <v>19338</v>
      </c>
      <c r="H138">
        <f t="shared" si="4"/>
        <v>296185.94400000002</v>
      </c>
      <c r="I138" s="15">
        <f t="shared" si="5"/>
        <v>21</v>
      </c>
    </row>
    <row r="139" spans="1:9" ht="14.25" customHeight="1" x14ac:dyDescent="0.2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SUMIFS(Лист2!$C:$C,Лист2!$A:$A,A139,Лист2!$B:$B,B139)</f>
        <v>125</v>
      </c>
      <c r="F139" s="7">
        <f>SUMIFS(Лист2!$D:$D,Лист2!$A:$A,A139,Лист2!$B:$B,B139)</f>
        <v>20079</v>
      </c>
      <c r="G139" s="7">
        <f>SUMIFS(Лист2!$E:$E,Лист2!$A:$A,A139,Лист2!$B:$B,B139)</f>
        <v>18721</v>
      </c>
      <c r="H139">
        <f t="shared" si="4"/>
        <v>294676.53600000002</v>
      </c>
      <c r="I139" s="15">
        <f t="shared" si="5"/>
        <v>20</v>
      </c>
    </row>
    <row r="140" spans="1:9" ht="14.25" customHeight="1" x14ac:dyDescent="0.2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SUMIFS(Лист2!$C:$C,Лист2!$A:$A,A140,Лист2!$B:$B,B140)</f>
        <v>125</v>
      </c>
      <c r="F140" s="7">
        <f>SUMIFS(Лист2!$D:$D,Лист2!$A:$A,A140,Лист2!$B:$B,B140)</f>
        <v>20132</v>
      </c>
      <c r="G140" s="7">
        <f>SUMIFS(Лист2!$E:$E,Лист2!$A:$A,A140,Лист2!$B:$B,B140)</f>
        <v>18617</v>
      </c>
      <c r="H140">
        <f t="shared" si="4"/>
        <v>309547.41600000003</v>
      </c>
      <c r="I140" s="15">
        <f t="shared" si="5"/>
        <v>19</v>
      </c>
    </row>
    <row r="141" spans="1:9" ht="14.25" customHeight="1" x14ac:dyDescent="0.2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SUMIFS(Лист2!$C:$C,Лист2!$A:$A,A141,Лист2!$B:$B,B141)</f>
        <v>125</v>
      </c>
      <c r="F141" s="7">
        <f>SUMIFS(Лист2!$D:$D,Лист2!$A:$A,A141,Лист2!$B:$B,B141)</f>
        <v>20495</v>
      </c>
      <c r="G141" s="7">
        <f>SUMIFS(Лист2!$E:$E,Лист2!$A:$A,A141,Лист2!$B:$B,B141)</f>
        <v>18964</v>
      </c>
      <c r="H141">
        <f t="shared" si="4"/>
        <v>307255.63199999998</v>
      </c>
      <c r="I141" s="15">
        <f t="shared" si="5"/>
        <v>19</v>
      </c>
    </row>
    <row r="142" spans="1:9" ht="14.25" customHeight="1" x14ac:dyDescent="0.2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SUMIFS(Лист2!$C:$C,Лист2!$A:$A,A142,Лист2!$B:$B,B142)</f>
        <v>125</v>
      </c>
      <c r="F142" s="7">
        <f>SUMIFS(Лист2!$D:$D,Лист2!$A:$A,A142,Лист2!$B:$B,B142)</f>
        <v>21863</v>
      </c>
      <c r="G142" s="7">
        <f>SUMIFS(Лист2!$E:$E,Лист2!$A:$A,A142,Лист2!$B:$B,B142)</f>
        <v>20160</v>
      </c>
      <c r="H142">
        <f t="shared" si="4"/>
        <v>332475.07199999999</v>
      </c>
      <c r="I142" s="15">
        <f t="shared" si="5"/>
        <v>18</v>
      </c>
    </row>
    <row r="143" spans="1:9" ht="14.25" customHeight="1" x14ac:dyDescent="0.2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SUMIFS(Лист2!$C:$C,Лист2!$A:$A,A143,Лист2!$B:$B,B143)</f>
        <v>125</v>
      </c>
      <c r="F143" s="7">
        <f>SUMIFS(Лист2!$D:$D,Лист2!$A:$A,A143,Лист2!$B:$B,B143)</f>
        <v>16932</v>
      </c>
      <c r="G143" s="7">
        <f>SUMIFS(Лист2!$E:$E,Лист2!$A:$A,A143,Лист2!$B:$B,B143)</f>
        <v>15601</v>
      </c>
      <c r="H143">
        <f t="shared" si="4"/>
        <v>254749.89600000001</v>
      </c>
      <c r="I143" s="15">
        <f t="shared" si="5"/>
        <v>18</v>
      </c>
    </row>
    <row r="144" spans="1:9" ht="14.25" customHeight="1" x14ac:dyDescent="0.2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SUMIFS(Лист2!$C:$C,Лист2!$A:$A,A144,Лист2!$B:$B,B144)</f>
        <v>124</v>
      </c>
      <c r="F144" s="7">
        <f>SUMIFS(Лист2!$D:$D,Лист2!$A:$A,A144,Лист2!$B:$B,B144)</f>
        <v>21153</v>
      </c>
      <c r="G144" s="7">
        <f>SUMIFS(Лист2!$E:$E,Лист2!$A:$A,A144,Лист2!$B:$B,B144)</f>
        <v>19673</v>
      </c>
      <c r="H144">
        <f t="shared" si="4"/>
        <v>309402.90725806454</v>
      </c>
      <c r="I144" s="15">
        <f t="shared" si="5"/>
        <v>22</v>
      </c>
    </row>
    <row r="145" spans="1:9" ht="14.25" customHeight="1" x14ac:dyDescent="0.2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SUMIFS(Лист2!$C:$C,Лист2!$A:$A,A145,Лист2!$B:$B,B145)</f>
        <v>125</v>
      </c>
      <c r="F145" s="7">
        <f>SUMIFS(Лист2!$D:$D,Лист2!$A:$A,A145,Лист2!$B:$B,B145)</f>
        <v>20602</v>
      </c>
      <c r="G145" s="7">
        <f>SUMIFS(Лист2!$E:$E,Лист2!$A:$A,A145,Лист2!$B:$B,B145)</f>
        <v>18845</v>
      </c>
      <c r="H145">
        <f t="shared" si="4"/>
        <v>320617.54800000001</v>
      </c>
      <c r="I145" s="15">
        <f t="shared" si="5"/>
        <v>18</v>
      </c>
    </row>
    <row r="146" spans="1:9" ht="14.25" customHeight="1" x14ac:dyDescent="0.2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SUMIFS(Лист2!$C:$C,Лист2!$A:$A,A146,Лист2!$B:$B,B146)</f>
        <v>125</v>
      </c>
      <c r="F146" s="7">
        <f>SUMIFS(Лист2!$D:$D,Лист2!$A:$A,A146,Лист2!$B:$B,B146)</f>
        <v>21106</v>
      </c>
      <c r="G146" s="7">
        <f>SUMIFS(Лист2!$E:$E,Лист2!$A:$A,A146,Лист2!$B:$B,B146)</f>
        <v>19651</v>
      </c>
      <c r="H146">
        <f t="shared" si="4"/>
        <v>316628.61599999998</v>
      </c>
      <c r="I146" s="15">
        <f t="shared" si="5"/>
        <v>20</v>
      </c>
    </row>
    <row r="147" spans="1:9" ht="14.25" customHeight="1" x14ac:dyDescent="0.2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SUMIFS(Лист2!$C:$C,Лист2!$A:$A,A147,Лист2!$B:$B,B147)</f>
        <v>125</v>
      </c>
      <c r="F147" s="7">
        <f>SUMIFS(Лист2!$D:$D,Лист2!$A:$A,A147,Лист2!$B:$B,B147)</f>
        <v>20911</v>
      </c>
      <c r="G147" s="7">
        <f>SUMIFS(Лист2!$E:$E,Лист2!$A:$A,A147,Лист2!$B:$B,B147)</f>
        <v>19358</v>
      </c>
      <c r="H147">
        <f t="shared" si="4"/>
        <v>303217.25255999999</v>
      </c>
      <c r="I147" s="15">
        <f t="shared" si="5"/>
        <v>21</v>
      </c>
    </row>
    <row r="148" spans="1:9" ht="14.25" customHeight="1" x14ac:dyDescent="0.2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SUMIFS(Лист2!$C:$C,Лист2!$A:$A,A148,Лист2!$B:$B,B148)</f>
        <v>125</v>
      </c>
      <c r="F148" s="7">
        <f>SUMIFS(Лист2!$D:$D,Лист2!$A:$A,A148,Лист2!$B:$B,B148)</f>
        <v>21674</v>
      </c>
      <c r="G148" s="7">
        <f>SUMIFS(Лист2!$E:$E,Лист2!$A:$A,A148,Лист2!$B:$B,B148)</f>
        <v>20155</v>
      </c>
      <c r="H148">
        <f t="shared" si="4"/>
        <v>317114.47200000001</v>
      </c>
      <c r="I148" s="15">
        <f t="shared" si="5"/>
        <v>21</v>
      </c>
    </row>
    <row r="149" spans="1:9" ht="14.25" customHeight="1" x14ac:dyDescent="0.2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SUMIFS(Лист2!$C:$C,Лист2!$A:$A,A149,Лист2!$B:$B,B149)</f>
        <v>125</v>
      </c>
      <c r="F149" s="7">
        <f>SUMIFS(Лист2!$D:$D,Лист2!$A:$A,A149,Лист2!$B:$B,B149)</f>
        <v>18944</v>
      </c>
      <c r="G149" s="7">
        <f>SUMIFS(Лист2!$E:$E,Лист2!$A:$A,A149,Лист2!$B:$B,B149)</f>
        <v>17541</v>
      </c>
      <c r="H149">
        <f t="shared" si="4"/>
        <v>285373.87199999997</v>
      </c>
      <c r="I149" s="15">
        <f t="shared" si="5"/>
        <v>19</v>
      </c>
    </row>
    <row r="150" spans="1:9" ht="14.25" customHeight="1" x14ac:dyDescent="0.2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SUMIFS(Лист2!$C:$C,Лист2!$A:$A,A150,Лист2!$B:$B,B150)</f>
        <v>125</v>
      </c>
      <c r="F150" s="7">
        <f>SUMIFS(Лист2!$D:$D,Лист2!$A:$A,A150,Лист2!$B:$B,B150)</f>
        <v>20914</v>
      </c>
      <c r="G150" s="7">
        <f>SUMIFS(Лист2!$E:$E,Лист2!$A:$A,A150,Лист2!$B:$B,B150)</f>
        <v>19479</v>
      </c>
      <c r="H150">
        <f t="shared" si="4"/>
        <v>319344.228</v>
      </c>
      <c r="I150" s="15">
        <f t="shared" si="5"/>
        <v>18</v>
      </c>
    </row>
    <row r="151" spans="1:9" ht="14.25" customHeight="1" x14ac:dyDescent="0.2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SUMIFS(Лист2!$C:$C,Лист2!$A:$A,A151,Лист2!$B:$B,B151)</f>
        <v>125</v>
      </c>
      <c r="F151" s="7">
        <f>SUMIFS(Лист2!$D:$D,Лист2!$A:$A,A151,Лист2!$B:$B,B151)</f>
        <v>19965</v>
      </c>
      <c r="G151" s="7">
        <f>SUMIFS(Лист2!$E:$E,Лист2!$A:$A,A151,Лист2!$B:$B,B151)</f>
        <v>18573</v>
      </c>
      <c r="H151">
        <f t="shared" si="4"/>
        <v>297576.924</v>
      </c>
      <c r="I151" s="15">
        <f t="shared" si="5"/>
        <v>20</v>
      </c>
    </row>
    <row r="152" spans="1:9" ht="14.25" customHeight="1" x14ac:dyDescent="0.2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SUMIFS(Лист2!$C:$C,Лист2!$A:$A,A152,Лист2!$B:$B,B152)</f>
        <v>129</v>
      </c>
      <c r="F152" s="7">
        <f>SUMIFS(Лист2!$D:$D,Лист2!$A:$A,A152,Лист2!$B:$B,B152)</f>
        <v>17235</v>
      </c>
      <c r="G152" s="7">
        <f>SUMIFS(Лист2!$E:$E,Лист2!$A:$A,A152,Лист2!$B:$B,B152)</f>
        <v>16052</v>
      </c>
      <c r="H152">
        <f t="shared" si="4"/>
        <v>227347.02325581395</v>
      </c>
      <c r="I152" s="15">
        <f t="shared" si="5"/>
        <v>22</v>
      </c>
    </row>
    <row r="153" spans="1:9" ht="14.25" customHeight="1" x14ac:dyDescent="0.2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SUMIFS(Лист2!$C:$C,Лист2!$A:$A,A153,Лист2!$B:$B,B153)</f>
        <v>125</v>
      </c>
      <c r="F153" s="7">
        <f>SUMIFS(Лист2!$D:$D,Лист2!$A:$A,A153,Лист2!$B:$B,B153)</f>
        <v>18861</v>
      </c>
      <c r="G153" s="7">
        <f>SUMIFS(Лист2!$E:$E,Лист2!$A:$A,A153,Лист2!$B:$B,B153)</f>
        <v>17420</v>
      </c>
      <c r="H153">
        <f t="shared" si="4"/>
        <v>293055.99599999998</v>
      </c>
      <c r="I153" s="15">
        <f t="shared" si="5"/>
        <v>18</v>
      </c>
    </row>
    <row r="154" spans="1:9" ht="14.25" customHeight="1" x14ac:dyDescent="0.2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SUMIFS(Лист2!$C:$C,Лист2!$A:$A,A154,Лист2!$B:$B,B154)</f>
        <v>129</v>
      </c>
      <c r="F154" s="7">
        <f>SUMIFS(Лист2!$D:$D,Лист2!$A:$A,A154,Лист2!$B:$B,B154)</f>
        <v>20243</v>
      </c>
      <c r="G154" s="7">
        <f>SUMIFS(Лист2!$E:$E,Лист2!$A:$A,A154,Лист2!$B:$B,B154)</f>
        <v>18711</v>
      </c>
      <c r="H154">
        <f t="shared" si="4"/>
        <v>276934.0581395349</v>
      </c>
      <c r="I154" s="15">
        <f t="shared" si="5"/>
        <v>22</v>
      </c>
    </row>
    <row r="155" spans="1:9" ht="14.25" customHeight="1" x14ac:dyDescent="0.2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SUMIFS(Лист2!$C:$C,Лист2!$A:$A,A155,Лист2!$B:$B,B155)</f>
        <v>125</v>
      </c>
      <c r="F155" s="7">
        <f>SUMIFS(Лист2!$D:$D,Лист2!$A:$A,A155,Лист2!$B:$B,B155)</f>
        <v>20218</v>
      </c>
      <c r="G155" s="7">
        <f>SUMIFS(Лист2!$E:$E,Лист2!$A:$A,A155,Лист2!$B:$B,B155)</f>
        <v>18647</v>
      </c>
      <c r="H155">
        <f t="shared" si="4"/>
        <v>304738.75199999998</v>
      </c>
      <c r="I155" s="15">
        <f t="shared" si="5"/>
        <v>19</v>
      </c>
    </row>
    <row r="156" spans="1:9" ht="14.25" customHeight="1" x14ac:dyDescent="0.2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SUMIFS(Лист2!$C:$C,Лист2!$A:$A,A156,Лист2!$B:$B,B156)</f>
        <v>125</v>
      </c>
      <c r="F156" s="7">
        <f>SUMIFS(Лист2!$D:$D,Лист2!$A:$A,A156,Лист2!$B:$B,B156)</f>
        <v>24574</v>
      </c>
      <c r="G156" s="7">
        <f>SUMIFS(Лист2!$E:$E,Лист2!$A:$A,A156,Лист2!$B:$B,B156)</f>
        <v>22609</v>
      </c>
      <c r="H156">
        <f t="shared" si="4"/>
        <v>371264.64</v>
      </c>
      <c r="I156" s="15">
        <f t="shared" si="5"/>
        <v>21</v>
      </c>
    </row>
    <row r="157" spans="1:9" ht="14.25" customHeight="1" x14ac:dyDescent="0.2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SUMIFS(Лист2!$C:$C,Лист2!$A:$A,A157,Лист2!$B:$B,B157)</f>
        <v>129</v>
      </c>
      <c r="F157" s="7">
        <f>SUMIFS(Лист2!$D:$D,Лист2!$A:$A,A157,Лист2!$B:$B,B157)</f>
        <v>16453</v>
      </c>
      <c r="G157" s="7">
        <f>SUMIFS(Лист2!$E:$E,Лист2!$A:$A,A157,Лист2!$B:$B,B157)</f>
        <v>15289</v>
      </c>
      <c r="H157">
        <f t="shared" si="4"/>
        <v>218224.84302325582</v>
      </c>
      <c r="I157" s="15">
        <f t="shared" si="5"/>
        <v>22</v>
      </c>
    </row>
    <row r="158" spans="1:9" ht="14.25" customHeight="1" x14ac:dyDescent="0.2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SUMIFS(Лист2!$C:$C,Лист2!$A:$A,A158,Лист2!$B:$B,B158)</f>
        <v>124</v>
      </c>
      <c r="F158" s="7">
        <f>SUMIFS(Лист2!$D:$D,Лист2!$A:$A,A158,Лист2!$B:$B,B158)</f>
        <v>20358</v>
      </c>
      <c r="G158" s="7">
        <f>SUMIFS(Лист2!$E:$E,Лист2!$A:$A,A158,Лист2!$B:$B,B158)</f>
        <v>18890</v>
      </c>
      <c r="H158">
        <f t="shared" si="4"/>
        <v>297447</v>
      </c>
      <c r="I158" s="15">
        <f t="shared" si="5"/>
        <v>22</v>
      </c>
    </row>
    <row r="159" spans="1:9" ht="14.25" customHeight="1" x14ac:dyDescent="0.2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SUMIFS(Лист2!$C:$C,Лист2!$A:$A,A159,Лист2!$B:$B,B159)</f>
        <v>125</v>
      </c>
      <c r="F159" s="7">
        <f>SUMIFS(Лист2!$D:$D,Лист2!$A:$A,A159,Лист2!$B:$B,B159)</f>
        <v>22368</v>
      </c>
      <c r="G159" s="7">
        <f>SUMIFS(Лист2!$E:$E,Лист2!$A:$A,A159,Лист2!$B:$B,B159)</f>
        <v>20625</v>
      </c>
      <c r="H159">
        <f t="shared" si="4"/>
        <v>344229.87599999999</v>
      </c>
      <c r="I159" s="15">
        <f t="shared" si="5"/>
        <v>18</v>
      </c>
    </row>
    <row r="160" spans="1:9" ht="14.25" customHeight="1" x14ac:dyDescent="0.2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SUMIFS(Лист2!$C:$C,Лист2!$A:$A,A160,Лист2!$B:$B,B160)</f>
        <v>125</v>
      </c>
      <c r="F160" s="7">
        <f>SUMIFS(Лист2!$D:$D,Лист2!$A:$A,A160,Лист2!$B:$B,B160)</f>
        <v>20368</v>
      </c>
      <c r="G160" s="7">
        <f>SUMIFS(Лист2!$E:$E,Лист2!$A:$A,A160,Лист2!$B:$B,B160)</f>
        <v>18884</v>
      </c>
      <c r="H160">
        <f t="shared" si="4"/>
        <v>312087</v>
      </c>
      <c r="I160" s="15">
        <f t="shared" si="5"/>
        <v>19</v>
      </c>
    </row>
    <row r="161" spans="1:9" ht="14.25" customHeight="1" x14ac:dyDescent="0.2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SUMIFS(Лист2!$C:$C,Лист2!$A:$A,A161,Лист2!$B:$B,B161)</f>
        <v>125</v>
      </c>
      <c r="F161" s="7">
        <f>SUMIFS(Лист2!$D:$D,Лист2!$A:$A,A161,Лист2!$B:$B,B161)</f>
        <v>24620</v>
      </c>
      <c r="G161" s="7">
        <f>SUMIFS(Лист2!$E:$E,Лист2!$A:$A,A161,Лист2!$B:$B,B161)</f>
        <v>22641</v>
      </c>
      <c r="H161">
        <f t="shared" si="4"/>
        <v>392985.44400000002</v>
      </c>
      <c r="I161" s="15">
        <f t="shared" si="5"/>
        <v>19</v>
      </c>
    </row>
    <row r="162" spans="1:9" ht="14.25" customHeight="1" x14ac:dyDescent="0.2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SUMIFS(Лист2!$C:$C,Лист2!$A:$A,A162,Лист2!$B:$B,B162)</f>
        <v>125</v>
      </c>
      <c r="F162" s="7">
        <f>SUMIFS(Лист2!$D:$D,Лист2!$A:$A,A162,Лист2!$B:$B,B162)</f>
        <v>18014</v>
      </c>
      <c r="G162" s="7">
        <f>SUMIFS(Лист2!$E:$E,Лист2!$A:$A,A162,Лист2!$B:$B,B162)</f>
        <v>16675</v>
      </c>
      <c r="H162">
        <f t="shared" si="4"/>
        <v>270111.91200000001</v>
      </c>
      <c r="I162" s="15">
        <f t="shared" si="5"/>
        <v>19</v>
      </c>
    </row>
    <row r="163" spans="1:9" ht="14.25" customHeight="1" x14ac:dyDescent="0.2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SUMIFS(Лист2!$C:$C,Лист2!$A:$A,A163,Лист2!$B:$B,B163)</f>
        <v>125</v>
      </c>
      <c r="F163" s="7">
        <f>SUMIFS(Лист2!$D:$D,Лист2!$A:$A,A163,Лист2!$B:$B,B163)</f>
        <v>21004</v>
      </c>
      <c r="G163" s="7">
        <f>SUMIFS(Лист2!$E:$E,Лист2!$A:$A,A163,Лист2!$B:$B,B163)</f>
        <v>19556</v>
      </c>
      <c r="H163">
        <f t="shared" si="4"/>
        <v>305531.05200000003</v>
      </c>
      <c r="I163" s="15">
        <f t="shared" si="5"/>
        <v>21</v>
      </c>
    </row>
    <row r="164" spans="1:9" ht="14.25" customHeight="1" x14ac:dyDescent="0.2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SUMIFS(Лист2!$C:$C,Лист2!$A:$A,A164,Лист2!$B:$B,B164)</f>
        <v>36</v>
      </c>
      <c r="F164" s="7">
        <f>SUMIFS(Лист2!$D:$D,Лист2!$A:$A,A164,Лист2!$B:$B,B164)</f>
        <v>5286</v>
      </c>
      <c r="G164" s="7">
        <f>SUMIFS(Лист2!$E:$E,Лист2!$A:$A,A164,Лист2!$B:$B,B164)</f>
        <v>4867</v>
      </c>
      <c r="H164">
        <f t="shared" si="4"/>
        <v>184782.75</v>
      </c>
      <c r="I164" s="15">
        <f t="shared" si="5"/>
        <v>20</v>
      </c>
    </row>
    <row r="165" spans="1:9" ht="14.25" customHeight="1" x14ac:dyDescent="0.2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SUMIFS(Лист2!$C:$C,Лист2!$A:$A,A165,Лист2!$B:$B,B165)</f>
        <v>36</v>
      </c>
      <c r="F165" s="7">
        <f>SUMIFS(Лист2!$D:$D,Лист2!$A:$A,A165,Лист2!$B:$B,B165)</f>
        <v>5094</v>
      </c>
      <c r="G165" s="7">
        <f>SUMIFS(Лист2!$E:$E,Лист2!$A:$A,A165,Лист2!$B:$B,B165)</f>
        <v>4716</v>
      </c>
      <c r="H165">
        <f t="shared" si="4"/>
        <v>171485.08333333334</v>
      </c>
      <c r="I165" s="15">
        <f t="shared" si="5"/>
        <v>21</v>
      </c>
    </row>
    <row r="166" spans="1:9" ht="14.25" customHeight="1" x14ac:dyDescent="0.2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SUMIFS(Лист2!$C:$C,Лист2!$A:$A,A166,Лист2!$B:$B,B166)</f>
        <v>36</v>
      </c>
      <c r="F166" s="7">
        <f>SUMIFS(Лист2!$D:$D,Лист2!$A:$A,A166,Лист2!$B:$B,B166)</f>
        <v>4918</v>
      </c>
      <c r="G166" s="7">
        <f>SUMIFS(Лист2!$E:$E,Лист2!$A:$A,A166,Лист2!$B:$B,B166)</f>
        <v>4554</v>
      </c>
      <c r="H166">
        <f t="shared" si="4"/>
        <v>165355.625</v>
      </c>
      <c r="I166" s="15">
        <f t="shared" si="5"/>
        <v>20</v>
      </c>
    </row>
    <row r="167" spans="1:9" ht="14.25" customHeight="1" x14ac:dyDescent="0.2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SUMIFS(Лист2!$C:$C,Лист2!$A:$A,A167,Лист2!$B:$B,B167)</f>
        <v>36</v>
      </c>
      <c r="F167" s="7">
        <f>SUMIFS(Лист2!$D:$D,Лист2!$A:$A,A167,Лист2!$B:$B,B167)</f>
        <v>5413</v>
      </c>
      <c r="G167" s="7">
        <f>SUMIFS(Лист2!$E:$E,Лист2!$A:$A,A167,Лист2!$B:$B,B167)</f>
        <v>4959</v>
      </c>
      <c r="H167">
        <f t="shared" si="4"/>
        <v>201484.08333333334</v>
      </c>
      <c r="I167" s="15">
        <f t="shared" si="5"/>
        <v>19</v>
      </c>
    </row>
    <row r="168" spans="1:9" ht="14.25" customHeight="1" x14ac:dyDescent="0.2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SUMIFS(Лист2!$C:$C,Лист2!$A:$A,A168,Лист2!$B:$B,B168)</f>
        <v>36</v>
      </c>
      <c r="F168" s="7">
        <f>SUMIFS(Лист2!$D:$D,Лист2!$A:$A,A168,Лист2!$B:$B,B168)</f>
        <v>4508</v>
      </c>
      <c r="G168" s="7">
        <f>SUMIFS(Лист2!$E:$E,Лист2!$A:$A,A168,Лист2!$B:$B,B168)</f>
        <v>4149</v>
      </c>
      <c r="H168">
        <f t="shared" si="4"/>
        <v>154484.79166666666</v>
      </c>
      <c r="I168" s="15">
        <f t="shared" si="5"/>
        <v>19</v>
      </c>
    </row>
    <row r="169" spans="1:9" ht="14.25" customHeight="1" x14ac:dyDescent="0.2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SUMIFS(Лист2!$C:$C,Лист2!$A:$A,A169,Лист2!$B:$B,B169)</f>
        <v>36</v>
      </c>
      <c r="F169" s="7">
        <f>SUMIFS(Лист2!$D:$D,Лист2!$A:$A,A169,Лист2!$B:$B,B169)</f>
        <v>4937</v>
      </c>
      <c r="G169" s="7">
        <f>SUMIFS(Лист2!$E:$E,Лист2!$A:$A,A169,Лист2!$B:$B,B169)</f>
        <v>4561</v>
      </c>
      <c r="H169">
        <f t="shared" si="4"/>
        <v>179290.5</v>
      </c>
      <c r="I169" s="15">
        <f t="shared" si="5"/>
        <v>18</v>
      </c>
    </row>
    <row r="170" spans="1:9" ht="14.25" customHeight="1" x14ac:dyDescent="0.2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SUMIFS(Лист2!$C:$C,Лист2!$A:$A,A170,Лист2!$B:$B,B170)</f>
        <v>36</v>
      </c>
      <c r="F170" s="7">
        <f>SUMIFS(Лист2!$D:$D,Лист2!$A:$A,A170,Лист2!$B:$B,B170)</f>
        <v>3442</v>
      </c>
      <c r="G170" s="7">
        <f>SUMIFS(Лист2!$E:$E,Лист2!$A:$A,A170,Лист2!$B:$B,B170)</f>
        <v>3147</v>
      </c>
      <c r="H170">
        <f t="shared" si="4"/>
        <v>114395.875</v>
      </c>
      <c r="I170" s="15">
        <f t="shared" si="5"/>
        <v>18</v>
      </c>
    </row>
    <row r="171" spans="1:9" ht="14.25" customHeight="1" x14ac:dyDescent="0.2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SUMIFS(Лист2!$C:$C,Лист2!$A:$A,A171,Лист2!$B:$B,B171)</f>
        <v>36</v>
      </c>
      <c r="F171" s="7">
        <f>SUMIFS(Лист2!$D:$D,Лист2!$A:$A,A171,Лист2!$B:$B,B171)</f>
        <v>4770</v>
      </c>
      <c r="G171" s="7">
        <f>SUMIFS(Лист2!$E:$E,Лист2!$A:$A,A171,Лист2!$B:$B,B171)</f>
        <v>4424</v>
      </c>
      <c r="H171">
        <f t="shared" si="4"/>
        <v>162916.375</v>
      </c>
      <c r="I171" s="15">
        <f t="shared" si="5"/>
        <v>22</v>
      </c>
    </row>
    <row r="172" spans="1:9" ht="14.25" customHeight="1" x14ac:dyDescent="0.2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SUMIFS(Лист2!$C:$C,Лист2!$A:$A,A172,Лист2!$B:$B,B172)</f>
        <v>36</v>
      </c>
      <c r="F172" s="7">
        <f>SUMIFS(Лист2!$D:$D,Лист2!$A:$A,A172,Лист2!$B:$B,B172)</f>
        <v>5457</v>
      </c>
      <c r="G172" s="7">
        <f>SUMIFS(Лист2!$E:$E,Лист2!$A:$A,A172,Лист2!$B:$B,B172)</f>
        <v>4916</v>
      </c>
      <c r="H172">
        <f t="shared" si="4"/>
        <v>195339.58333333334</v>
      </c>
      <c r="I172" s="15">
        <f t="shared" si="5"/>
        <v>18</v>
      </c>
    </row>
    <row r="173" spans="1:9" ht="14.25" customHeight="1" x14ac:dyDescent="0.2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SUMIFS(Лист2!$C:$C,Лист2!$A:$A,A173,Лист2!$B:$B,B173)</f>
        <v>36</v>
      </c>
      <c r="F173" s="7">
        <f>SUMIFS(Лист2!$D:$D,Лист2!$A:$A,A173,Лист2!$B:$B,B173)</f>
        <v>4418</v>
      </c>
      <c r="G173" s="7">
        <f>SUMIFS(Лист2!$E:$E,Лист2!$A:$A,A173,Лист2!$B:$B,B173)</f>
        <v>4088</v>
      </c>
      <c r="H173">
        <f t="shared" si="4"/>
        <v>153420.70833333334</v>
      </c>
      <c r="I173" s="15">
        <f t="shared" si="5"/>
        <v>20</v>
      </c>
    </row>
    <row r="174" spans="1:9" ht="14.25" customHeight="1" x14ac:dyDescent="0.2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SUMIFS(Лист2!$C:$C,Лист2!$A:$A,A174,Лист2!$B:$B,B174)</f>
        <v>36</v>
      </c>
      <c r="F174" s="7">
        <f>SUMIFS(Лист2!$D:$D,Лист2!$A:$A,A174,Лист2!$B:$B,B174)</f>
        <v>4816</v>
      </c>
      <c r="G174" s="7">
        <f>SUMIFS(Лист2!$E:$E,Лист2!$A:$A,A174,Лист2!$B:$B,B174)</f>
        <v>4452</v>
      </c>
      <c r="H174">
        <f t="shared" si="4"/>
        <v>162891.25</v>
      </c>
      <c r="I174" s="15">
        <f t="shared" si="5"/>
        <v>21</v>
      </c>
    </row>
    <row r="175" spans="1:9" ht="14.25" customHeight="1" x14ac:dyDescent="0.2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SUMIFS(Лист2!$C:$C,Лист2!$A:$A,A175,Лист2!$B:$B,B175)</f>
        <v>36</v>
      </c>
      <c r="F175" s="7">
        <f>SUMIFS(Лист2!$D:$D,Лист2!$A:$A,A175,Лист2!$B:$B,B175)</f>
        <v>5914</v>
      </c>
      <c r="G175" s="7">
        <f>SUMIFS(Лист2!$E:$E,Лист2!$A:$A,A175,Лист2!$B:$B,B175)</f>
        <v>5384</v>
      </c>
      <c r="H175">
        <f t="shared" si="4"/>
        <v>197831.83333333334</v>
      </c>
      <c r="I175" s="15">
        <f t="shared" si="5"/>
        <v>21</v>
      </c>
    </row>
    <row r="176" spans="1:9" ht="14.25" customHeight="1" x14ac:dyDescent="0.2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SUMIFS(Лист2!$C:$C,Лист2!$A:$A,A176,Лист2!$B:$B,B176)</f>
        <v>36</v>
      </c>
      <c r="F176" s="7">
        <f>SUMIFS(Лист2!$D:$D,Лист2!$A:$A,A176,Лист2!$B:$B,B176)</f>
        <v>4575</v>
      </c>
      <c r="G176" s="7">
        <f>SUMIFS(Лист2!$E:$E,Лист2!$A:$A,A176,Лист2!$B:$B,B176)</f>
        <v>4206</v>
      </c>
      <c r="H176">
        <f t="shared" si="4"/>
        <v>160292.75</v>
      </c>
      <c r="I176" s="15">
        <f t="shared" si="5"/>
        <v>19</v>
      </c>
    </row>
    <row r="177" spans="1:9" ht="14.25" customHeight="1" x14ac:dyDescent="0.2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SUMIFS(Лист2!$C:$C,Лист2!$A:$A,A177,Лист2!$B:$B,B177)</f>
        <v>36</v>
      </c>
      <c r="F177" s="7">
        <f>SUMIFS(Лист2!$D:$D,Лист2!$A:$A,A177,Лист2!$B:$B,B177)</f>
        <v>4923</v>
      </c>
      <c r="G177" s="7">
        <f>SUMIFS(Лист2!$E:$E,Лист2!$A:$A,A177,Лист2!$B:$B,B177)</f>
        <v>4560</v>
      </c>
      <c r="H177">
        <f t="shared" si="4"/>
        <v>174673.5</v>
      </c>
      <c r="I177" s="15">
        <f t="shared" si="5"/>
        <v>18</v>
      </c>
    </row>
    <row r="178" spans="1:9" ht="14.25" customHeight="1" x14ac:dyDescent="0.2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SUMIFS(Лист2!$C:$C,Лист2!$A:$A,A178,Лист2!$B:$B,B178)</f>
        <v>36</v>
      </c>
      <c r="F178" s="7">
        <f>SUMIFS(Лист2!$D:$D,Лист2!$A:$A,A178,Лист2!$B:$B,B178)</f>
        <v>4967</v>
      </c>
      <c r="G178" s="7">
        <f>SUMIFS(Лист2!$E:$E,Лист2!$A:$A,A178,Лист2!$B:$B,B178)</f>
        <v>4583</v>
      </c>
      <c r="H178">
        <f t="shared" si="4"/>
        <v>175939.66666666666</v>
      </c>
      <c r="I178" s="15">
        <f t="shared" si="5"/>
        <v>20</v>
      </c>
    </row>
    <row r="179" spans="1:9" ht="14.25" customHeight="1" x14ac:dyDescent="0.2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SUMIFS(Лист2!$C:$C,Лист2!$A:$A,A179,Лист2!$B:$B,B179)</f>
        <v>124</v>
      </c>
      <c r="F179" s="7">
        <f>SUMIFS(Лист2!$D:$D,Лист2!$A:$A,A179,Лист2!$B:$B,B179)</f>
        <v>21392</v>
      </c>
      <c r="G179" s="7">
        <f>SUMIFS(Лист2!$E:$E,Лист2!$A:$A,A179,Лист2!$B:$B,B179)</f>
        <v>19869</v>
      </c>
      <c r="H179">
        <f t="shared" si="4"/>
        <v>317582.08064516127</v>
      </c>
      <c r="I179" s="15">
        <f t="shared" si="5"/>
        <v>22</v>
      </c>
    </row>
    <row r="180" spans="1:9" ht="14.25" customHeight="1" x14ac:dyDescent="0.2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SUMIFS(Лист2!$C:$C,Лист2!$A:$A,A180,Лист2!$B:$B,B180)</f>
        <v>36</v>
      </c>
      <c r="F180" s="7">
        <f>SUMIFS(Лист2!$D:$D,Лист2!$A:$A,A180,Лист2!$B:$B,B180)</f>
        <v>4751</v>
      </c>
      <c r="G180" s="7">
        <f>SUMIFS(Лист2!$E:$E,Лист2!$A:$A,A180,Лист2!$B:$B,B180)</f>
        <v>4370</v>
      </c>
      <c r="H180">
        <f t="shared" si="4"/>
        <v>172814.45833333334</v>
      </c>
      <c r="I180" s="15">
        <f t="shared" si="5"/>
        <v>18</v>
      </c>
    </row>
    <row r="181" spans="1:9" ht="14.25" customHeight="1" x14ac:dyDescent="0.2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SUMIFS(Лист2!$C:$C,Лист2!$A:$A,A181,Лист2!$B:$B,B181)</f>
        <v>124</v>
      </c>
      <c r="F181" s="7">
        <f>SUMIFS(Лист2!$D:$D,Лист2!$A:$A,A181,Лист2!$B:$B,B181)</f>
        <v>24325</v>
      </c>
      <c r="G181" s="7">
        <f>SUMIFS(Лист2!$E:$E,Лист2!$A:$A,A181,Лист2!$B:$B,B181)</f>
        <v>22469</v>
      </c>
      <c r="H181">
        <f t="shared" si="4"/>
        <v>373958.90322580643</v>
      </c>
      <c r="I181" s="15">
        <f t="shared" si="5"/>
        <v>22</v>
      </c>
    </row>
    <row r="182" spans="1:9" ht="14.25" customHeight="1" x14ac:dyDescent="0.2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SUMIFS(Лист2!$C:$C,Лист2!$A:$A,A182,Лист2!$B:$B,B182)</f>
        <v>36</v>
      </c>
      <c r="F182" s="7">
        <f>SUMIFS(Лист2!$D:$D,Лист2!$A:$A,A182,Лист2!$B:$B,B182)</f>
        <v>4384</v>
      </c>
      <c r="G182" s="7">
        <f>SUMIFS(Лист2!$E:$E,Лист2!$A:$A,A182,Лист2!$B:$B,B182)</f>
        <v>4025</v>
      </c>
      <c r="H182">
        <f t="shared" si="4"/>
        <v>151503.375</v>
      </c>
      <c r="I182" s="15">
        <f t="shared" si="5"/>
        <v>19</v>
      </c>
    </row>
    <row r="183" spans="1:9" ht="14.25" customHeight="1" x14ac:dyDescent="0.2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SUMIFS(Лист2!$C:$C,Лист2!$A:$A,A183,Лист2!$B:$B,B183)</f>
        <v>36</v>
      </c>
      <c r="F183" s="7">
        <f>SUMIFS(Лист2!$D:$D,Лист2!$A:$A,A183,Лист2!$B:$B,B183)</f>
        <v>5651</v>
      </c>
      <c r="G183" s="7">
        <f>SUMIFS(Лист2!$E:$E,Лист2!$A:$A,A183,Лист2!$B:$B,B183)</f>
        <v>5212</v>
      </c>
      <c r="H183">
        <f t="shared" si="4"/>
        <v>199253.25</v>
      </c>
      <c r="I183" s="15">
        <f t="shared" si="5"/>
        <v>21</v>
      </c>
    </row>
    <row r="184" spans="1:9" ht="14.25" customHeight="1" x14ac:dyDescent="0.2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SUMIFS(Лист2!$C:$C,Лист2!$A:$A,A184,Лист2!$B:$B,B184)</f>
        <v>124</v>
      </c>
      <c r="F184" s="7">
        <f>SUMIFS(Лист2!$D:$D,Лист2!$A:$A,A184,Лист2!$B:$B,B184)</f>
        <v>20868</v>
      </c>
      <c r="G184" s="7">
        <f>SUMIFS(Лист2!$E:$E,Лист2!$A:$A,A184,Лист2!$B:$B,B184)</f>
        <v>19342</v>
      </c>
      <c r="H184">
        <f t="shared" si="4"/>
        <v>306029.74596774194</v>
      </c>
      <c r="I184" s="15">
        <f t="shared" si="5"/>
        <v>22</v>
      </c>
    </row>
    <row r="185" spans="1:9" ht="14.25" customHeight="1" x14ac:dyDescent="0.2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SUMIFS(Лист2!$C:$C,Лист2!$A:$A,A185,Лист2!$B:$B,B185)</f>
        <v>36</v>
      </c>
      <c r="F185" s="7">
        <f>SUMIFS(Лист2!$D:$D,Лист2!$A:$A,A185,Лист2!$B:$B,B185)</f>
        <v>4641</v>
      </c>
      <c r="G185" s="7">
        <f>SUMIFS(Лист2!$E:$E,Лист2!$A:$A,A185,Лист2!$B:$B,B185)</f>
        <v>4274</v>
      </c>
      <c r="H185">
        <f t="shared" si="4"/>
        <v>158462.5</v>
      </c>
      <c r="I185" s="15">
        <f t="shared" si="5"/>
        <v>22</v>
      </c>
    </row>
    <row r="186" spans="1:9" ht="14.25" customHeight="1" x14ac:dyDescent="0.2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SUMIFS(Лист2!$C:$C,Лист2!$A:$A,A186,Лист2!$B:$B,B186)</f>
        <v>36</v>
      </c>
      <c r="F186" s="7">
        <f>SUMIFS(Лист2!$D:$D,Лист2!$A:$A,A186,Лист2!$B:$B,B186)</f>
        <v>5143</v>
      </c>
      <c r="G186" s="7">
        <f>SUMIFS(Лист2!$E:$E,Лист2!$A:$A,A186,Лист2!$B:$B,B186)</f>
        <v>4715</v>
      </c>
      <c r="H186">
        <f t="shared" si="4"/>
        <v>189433.16666666666</v>
      </c>
      <c r="I186" s="15">
        <f t="shared" si="5"/>
        <v>18</v>
      </c>
    </row>
    <row r="187" spans="1:9" ht="14.25" customHeight="1" x14ac:dyDescent="0.2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SUMIFS(Лист2!$C:$C,Лист2!$A:$A,A187,Лист2!$B:$B,B187)</f>
        <v>36</v>
      </c>
      <c r="F187" s="7">
        <f>SUMIFS(Лист2!$D:$D,Лист2!$A:$A,A187,Лист2!$B:$B,B187)</f>
        <v>5746</v>
      </c>
      <c r="G187" s="7">
        <f>SUMIFS(Лист2!$E:$E,Лист2!$A:$A,A187,Лист2!$B:$B,B187)</f>
        <v>5277</v>
      </c>
      <c r="H187">
        <f t="shared" si="4"/>
        <v>214613.04166666666</v>
      </c>
      <c r="I187" s="15">
        <f t="shared" si="5"/>
        <v>19</v>
      </c>
    </row>
    <row r="188" spans="1:9" ht="14.25" customHeight="1" x14ac:dyDescent="0.2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SUMIFS(Лист2!$C:$C,Лист2!$A:$A,A188,Лист2!$B:$B,B188)</f>
        <v>36</v>
      </c>
      <c r="F188" s="7">
        <f>SUMIFS(Лист2!$D:$D,Лист2!$A:$A,A188,Лист2!$B:$B,B188)</f>
        <v>4199</v>
      </c>
      <c r="G188" s="7">
        <f>SUMIFS(Лист2!$E:$E,Лист2!$A:$A,A188,Лист2!$B:$B,B188)</f>
        <v>3867</v>
      </c>
      <c r="H188">
        <f t="shared" si="4"/>
        <v>149047.45833333334</v>
      </c>
      <c r="I188" s="15">
        <f t="shared" si="5"/>
        <v>19</v>
      </c>
    </row>
    <row r="189" spans="1:9" ht="14.25" customHeight="1" x14ac:dyDescent="0.2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SUMIFS(Лист2!$C:$C,Лист2!$A:$A,A189,Лист2!$B:$B,B189)</f>
        <v>36</v>
      </c>
      <c r="F189" s="7">
        <f>SUMIFS(Лист2!$D:$D,Лист2!$A:$A,A189,Лист2!$B:$B,B189)</f>
        <v>4826</v>
      </c>
      <c r="G189" s="7">
        <f>SUMIFS(Лист2!$E:$E,Лист2!$A:$A,A189,Лист2!$B:$B,B189)</f>
        <v>4426</v>
      </c>
      <c r="H189">
        <f t="shared" si="4"/>
        <v>171551.04166666666</v>
      </c>
      <c r="I189" s="15">
        <f t="shared" si="5"/>
        <v>19</v>
      </c>
    </row>
    <row r="190" spans="1:9" ht="14.25" customHeight="1" x14ac:dyDescent="0.2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SUMIFS(Лист2!$C:$C,Лист2!$A:$A,A190,Лист2!$B:$B,B190)</f>
        <v>36</v>
      </c>
      <c r="F190" s="7">
        <f>SUMIFS(Лист2!$D:$D,Лист2!$A:$A,A190,Лист2!$B:$B,B190)</f>
        <v>4915</v>
      </c>
      <c r="G190" s="7">
        <f>SUMIFS(Лист2!$E:$E,Лист2!$A:$A,A190,Лист2!$B:$B,B190)</f>
        <v>4562</v>
      </c>
      <c r="H190">
        <f t="shared" si="4"/>
        <v>169395.45833333334</v>
      </c>
      <c r="I190" s="15">
        <f t="shared" si="5"/>
        <v>21</v>
      </c>
    </row>
    <row r="191" spans="1:9" ht="14.25" customHeight="1" x14ac:dyDescent="0.2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SUMIFS(Лист2!$C:$C,Лист2!$A:$A,A191,Лист2!$B:$B,B191)</f>
        <v>21</v>
      </c>
      <c r="F191" s="7">
        <f>SUMIFS(Лист2!$D:$D,Лист2!$A:$A,A191,Лист2!$B:$B,B191)</f>
        <v>2427</v>
      </c>
      <c r="G191" s="7">
        <f>SUMIFS(Лист2!$E:$E,Лист2!$A:$A,A191,Лист2!$B:$B,B191)</f>
        <v>2213</v>
      </c>
      <c r="H191">
        <f t="shared" si="4"/>
        <v>191673.71428571429</v>
      </c>
      <c r="I191" s="15">
        <f t="shared" si="5"/>
        <v>20</v>
      </c>
    </row>
    <row r="192" spans="1:9" ht="14.25" customHeight="1" x14ac:dyDescent="0.2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SUMIFS(Лист2!$C:$C,Лист2!$A:$A,A192,Лист2!$B:$B,B192)</f>
        <v>21</v>
      </c>
      <c r="F192" s="7">
        <f>SUMIFS(Лист2!$D:$D,Лист2!$A:$A,A192,Лист2!$B:$B,B192)</f>
        <v>2245</v>
      </c>
      <c r="G192" s="7">
        <f>SUMIFS(Лист2!$E:$E,Лист2!$A:$A,A192,Лист2!$B:$B,B192)</f>
        <v>2053</v>
      </c>
      <c r="H192">
        <f t="shared" si="4"/>
        <v>169187.5</v>
      </c>
      <c r="I192" s="15">
        <f t="shared" si="5"/>
        <v>21</v>
      </c>
    </row>
    <row r="193" spans="1:9" ht="14.25" customHeight="1" x14ac:dyDescent="0.2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SUMIFS(Лист2!$C:$C,Лист2!$A:$A,A193,Лист2!$B:$B,B193)</f>
        <v>21</v>
      </c>
      <c r="F193" s="7">
        <f>SUMIFS(Лист2!$D:$D,Лист2!$A:$A,A193,Лист2!$B:$B,B193)</f>
        <v>2054</v>
      </c>
      <c r="G193" s="7">
        <f>SUMIFS(Лист2!$E:$E,Лист2!$A:$A,A193,Лист2!$B:$B,B193)</f>
        <v>1883</v>
      </c>
      <c r="H193">
        <f t="shared" si="4"/>
        <v>151959.78571428571</v>
      </c>
      <c r="I193" s="15">
        <f t="shared" si="5"/>
        <v>20</v>
      </c>
    </row>
    <row r="194" spans="1:9" ht="14.25" customHeight="1" x14ac:dyDescent="0.2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SUMIFS(Лист2!$C:$C,Лист2!$A:$A,A194,Лист2!$B:$B,B194)</f>
        <v>21</v>
      </c>
      <c r="F194" s="7">
        <f>SUMIFS(Лист2!$D:$D,Лист2!$A:$A,A194,Лист2!$B:$B,B194)</f>
        <v>1891</v>
      </c>
      <c r="G194" s="7">
        <f>SUMIFS(Лист2!$E:$E,Лист2!$A:$A,A194,Лист2!$B:$B,B194)</f>
        <v>1709</v>
      </c>
      <c r="H194">
        <f t="shared" si="4"/>
        <v>146899.64285714287</v>
      </c>
      <c r="I194" s="15">
        <f t="shared" si="5"/>
        <v>19</v>
      </c>
    </row>
    <row r="195" spans="1:9" ht="14.25" customHeight="1" x14ac:dyDescent="0.2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SUMIFS(Лист2!$C:$C,Лист2!$A:$A,A195,Лист2!$B:$B,B195)</f>
        <v>20</v>
      </c>
      <c r="F195" s="7">
        <f>SUMIFS(Лист2!$D:$D,Лист2!$A:$A,A195,Лист2!$B:$B,B195)</f>
        <v>1804</v>
      </c>
      <c r="G195" s="7">
        <f>SUMIFS(Лист2!$E:$E,Лист2!$A:$A,A195,Лист2!$B:$B,B195)</f>
        <v>1638</v>
      </c>
      <c r="H195">
        <f t="shared" ref="H195:H258" si="6">D195/E195</f>
        <v>140892.67499999999</v>
      </c>
      <c r="I195" s="15">
        <f t="shared" ref="I195:I258" si="7">WEEKNUM(A195,2)</f>
        <v>19</v>
      </c>
    </row>
    <row r="196" spans="1:9" ht="14.25" customHeight="1" x14ac:dyDescent="0.2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SUMIFS(Лист2!$C:$C,Лист2!$A:$A,A196,Лист2!$B:$B,B196)</f>
        <v>19</v>
      </c>
      <c r="F196" s="7">
        <f>SUMIFS(Лист2!$D:$D,Лист2!$A:$A,A196,Лист2!$B:$B,B196)</f>
        <v>1676</v>
      </c>
      <c r="G196" s="7">
        <f>SUMIFS(Лист2!$E:$E,Лист2!$A:$A,A196,Лист2!$B:$B,B196)</f>
        <v>1516</v>
      </c>
      <c r="H196">
        <f t="shared" si="6"/>
        <v>138294.47368421053</v>
      </c>
      <c r="I196" s="15">
        <f t="shared" si="7"/>
        <v>18</v>
      </c>
    </row>
    <row r="197" spans="1:9" ht="14.25" customHeight="1" x14ac:dyDescent="0.2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SUMIFS(Лист2!$C:$C,Лист2!$A:$A,A197,Лист2!$B:$B,B197)</f>
        <v>20</v>
      </c>
      <c r="F197" s="7">
        <f>SUMIFS(Лист2!$D:$D,Лист2!$A:$A,A197,Лист2!$B:$B,B197)</f>
        <v>1613</v>
      </c>
      <c r="G197" s="7">
        <f>SUMIFS(Лист2!$E:$E,Лист2!$A:$A,A197,Лист2!$B:$B,B197)</f>
        <v>1457</v>
      </c>
      <c r="H197">
        <f t="shared" si="6"/>
        <v>123523.27499999999</v>
      </c>
      <c r="I197" s="15">
        <f t="shared" si="7"/>
        <v>18</v>
      </c>
    </row>
    <row r="198" spans="1:9" ht="14.25" customHeight="1" x14ac:dyDescent="0.2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SUMIFS(Лист2!$C:$C,Лист2!$A:$A,A198,Лист2!$B:$B,B198)</f>
        <v>21</v>
      </c>
      <c r="F198" s="7">
        <f>SUMIFS(Лист2!$D:$D,Лист2!$A:$A,A198,Лист2!$B:$B,B198)</f>
        <v>2418</v>
      </c>
      <c r="G198" s="7">
        <f>SUMIFS(Лист2!$E:$E,Лист2!$A:$A,A198,Лист2!$B:$B,B198)</f>
        <v>2215</v>
      </c>
      <c r="H198">
        <f t="shared" si="6"/>
        <v>176205.28571428571</v>
      </c>
      <c r="I198" s="15">
        <f t="shared" si="7"/>
        <v>22</v>
      </c>
    </row>
    <row r="199" spans="1:9" ht="14.25" customHeight="1" x14ac:dyDescent="0.2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SUMIFS(Лист2!$C:$C,Лист2!$A:$A,A199,Лист2!$B:$B,B199)</f>
        <v>20</v>
      </c>
      <c r="F199" s="7">
        <f>SUMIFS(Лист2!$D:$D,Лист2!$A:$A,A199,Лист2!$B:$B,B199)</f>
        <v>2468</v>
      </c>
      <c r="G199" s="7">
        <f>SUMIFS(Лист2!$E:$E,Лист2!$A:$A,A199,Лист2!$B:$B,B199)</f>
        <v>2221</v>
      </c>
      <c r="H199">
        <f t="shared" si="6"/>
        <v>214662.07500000001</v>
      </c>
      <c r="I199" s="15">
        <f t="shared" si="7"/>
        <v>18</v>
      </c>
    </row>
    <row r="200" spans="1:9" ht="14.25" customHeight="1" x14ac:dyDescent="0.2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SUMIFS(Лист2!$C:$C,Лист2!$A:$A,A200,Лист2!$B:$B,B200)</f>
        <v>21</v>
      </c>
      <c r="F200" s="7">
        <f>SUMIFS(Лист2!$D:$D,Лист2!$A:$A,A200,Лист2!$B:$B,B200)</f>
        <v>1926</v>
      </c>
      <c r="G200" s="7">
        <f>SUMIFS(Лист2!$E:$E,Лист2!$A:$A,A200,Лист2!$B:$B,B200)</f>
        <v>1745</v>
      </c>
      <c r="H200">
        <f t="shared" si="6"/>
        <v>146695.92857142858</v>
      </c>
      <c r="I200" s="15">
        <f t="shared" si="7"/>
        <v>20</v>
      </c>
    </row>
    <row r="201" spans="1:9" ht="14.25" customHeight="1" x14ac:dyDescent="0.2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SUMIFS(Лист2!$C:$C,Лист2!$A:$A,A201,Лист2!$B:$B,B201)</f>
        <v>21</v>
      </c>
      <c r="F201" s="7">
        <f>SUMIFS(Лист2!$D:$D,Лист2!$A:$A,A201,Лист2!$B:$B,B201)</f>
        <v>2335</v>
      </c>
      <c r="G201" s="7">
        <f>SUMIFS(Лист2!$E:$E,Лист2!$A:$A,A201,Лист2!$B:$B,B201)</f>
        <v>2126</v>
      </c>
      <c r="H201">
        <f t="shared" si="6"/>
        <v>181447.35714285713</v>
      </c>
      <c r="I201" s="15">
        <f t="shared" si="7"/>
        <v>21</v>
      </c>
    </row>
    <row r="202" spans="1:9" ht="14.25" customHeight="1" x14ac:dyDescent="0.2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SUMIFS(Лист2!$C:$C,Лист2!$A:$A,A202,Лист2!$B:$B,B202)</f>
        <v>21</v>
      </c>
      <c r="F202" s="7">
        <f>SUMIFS(Лист2!$D:$D,Лист2!$A:$A,A202,Лист2!$B:$B,B202)</f>
        <v>2410</v>
      </c>
      <c r="G202" s="7">
        <f>SUMIFS(Лист2!$E:$E,Лист2!$A:$A,A202,Лист2!$B:$B,B202)</f>
        <v>2202</v>
      </c>
      <c r="H202">
        <f t="shared" si="6"/>
        <v>186618.42857142858</v>
      </c>
      <c r="I202" s="15">
        <f t="shared" si="7"/>
        <v>21</v>
      </c>
    </row>
    <row r="203" spans="1:9" ht="14.25" customHeight="1" x14ac:dyDescent="0.2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SUMIFS(Лист2!$C:$C,Лист2!$A:$A,A203,Лист2!$B:$B,B203)</f>
        <v>20</v>
      </c>
      <c r="F203" s="7">
        <f>SUMIFS(Лист2!$D:$D,Лист2!$A:$A,A203,Лист2!$B:$B,B203)</f>
        <v>1757</v>
      </c>
      <c r="G203" s="7">
        <f>SUMIFS(Лист2!$E:$E,Лист2!$A:$A,A203,Лист2!$B:$B,B203)</f>
        <v>1596</v>
      </c>
      <c r="H203">
        <f t="shared" si="6"/>
        <v>132434.4</v>
      </c>
      <c r="I203" s="15">
        <f t="shared" si="7"/>
        <v>19</v>
      </c>
    </row>
    <row r="204" spans="1:9" ht="14.25" customHeight="1" x14ac:dyDescent="0.2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SUMIFS(Лист2!$C:$C,Лист2!$A:$A,A204,Лист2!$B:$B,B204)</f>
        <v>19</v>
      </c>
      <c r="F204" s="7">
        <f>SUMIFS(Лист2!$D:$D,Лист2!$A:$A,A204,Лист2!$B:$B,B204)</f>
        <v>1846</v>
      </c>
      <c r="G204" s="7">
        <f>SUMIFS(Лист2!$E:$E,Лист2!$A:$A,A204,Лист2!$B:$B,B204)</f>
        <v>1681</v>
      </c>
      <c r="H204">
        <f t="shared" si="6"/>
        <v>150715.81578947368</v>
      </c>
      <c r="I204" s="15">
        <f t="shared" si="7"/>
        <v>18</v>
      </c>
    </row>
    <row r="205" spans="1:9" ht="14.25" customHeight="1" x14ac:dyDescent="0.2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SUMIFS(Лист2!$C:$C,Лист2!$A:$A,A205,Лист2!$B:$B,B205)</f>
        <v>21</v>
      </c>
      <c r="F205" s="7">
        <f>SUMIFS(Лист2!$D:$D,Лист2!$A:$A,A205,Лист2!$B:$B,B205)</f>
        <v>2061</v>
      </c>
      <c r="G205" s="7">
        <f>SUMIFS(Лист2!$E:$E,Лист2!$A:$A,A205,Лист2!$B:$B,B205)</f>
        <v>1876</v>
      </c>
      <c r="H205">
        <f t="shared" si="6"/>
        <v>156574.71428571429</v>
      </c>
      <c r="I205" s="15">
        <f t="shared" si="7"/>
        <v>20</v>
      </c>
    </row>
    <row r="206" spans="1:9" ht="14.25" customHeight="1" x14ac:dyDescent="0.2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SUMIFS(Лист2!$C:$C,Лист2!$A:$A,A206,Лист2!$B:$B,B206)</f>
        <v>37</v>
      </c>
      <c r="F206" s="7">
        <f>SUMIFS(Лист2!$D:$D,Лист2!$A:$A,A206,Лист2!$B:$B,B206)</f>
        <v>5215</v>
      </c>
      <c r="G206" s="7">
        <f>SUMIFS(Лист2!$E:$E,Лист2!$A:$A,A206,Лист2!$B:$B,B206)</f>
        <v>4848</v>
      </c>
      <c r="H206">
        <f t="shared" si="6"/>
        <v>175698.60810810811</v>
      </c>
      <c r="I206" s="15">
        <f t="shared" si="7"/>
        <v>22</v>
      </c>
    </row>
    <row r="207" spans="1:9" ht="14.25" customHeight="1" x14ac:dyDescent="0.2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SUMIFS(Лист2!$C:$C,Лист2!$A:$A,A207,Лист2!$B:$B,B207)</f>
        <v>20</v>
      </c>
      <c r="F207" s="7">
        <f>SUMIFS(Лист2!$D:$D,Лист2!$A:$A,A207,Лист2!$B:$B,B207)</f>
        <v>1716</v>
      </c>
      <c r="G207" s="7">
        <f>SUMIFS(Лист2!$E:$E,Лист2!$A:$A,A207,Лист2!$B:$B,B207)</f>
        <v>1561</v>
      </c>
      <c r="H207">
        <f t="shared" si="6"/>
        <v>136000.125</v>
      </c>
      <c r="I207" s="15">
        <f t="shared" si="7"/>
        <v>18</v>
      </c>
    </row>
    <row r="208" spans="1:9" ht="14.25" customHeight="1" x14ac:dyDescent="0.2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SUMIFS(Лист2!$C:$C,Лист2!$A:$A,A208,Лист2!$B:$B,B208)</f>
        <v>37</v>
      </c>
      <c r="F208" s="7">
        <f>SUMIFS(Лист2!$D:$D,Лист2!$A:$A,A208,Лист2!$B:$B,B208)</f>
        <v>6645</v>
      </c>
      <c r="G208" s="7">
        <f>SUMIFS(Лист2!$E:$E,Лист2!$A:$A,A208,Лист2!$B:$B,B208)</f>
        <v>6122</v>
      </c>
      <c r="H208">
        <f t="shared" si="6"/>
        <v>245902.33783783784</v>
      </c>
      <c r="I208" s="15">
        <f t="shared" si="7"/>
        <v>22</v>
      </c>
    </row>
    <row r="209" spans="1:9" ht="14.25" customHeight="1" x14ac:dyDescent="0.2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SUMIFS(Лист2!$C:$C,Лист2!$A:$A,A209,Лист2!$B:$B,B209)</f>
        <v>20</v>
      </c>
      <c r="F209" s="7">
        <f>SUMIFS(Лист2!$D:$D,Лист2!$A:$A,A209,Лист2!$B:$B,B209)</f>
        <v>1747</v>
      </c>
      <c r="G209" s="7">
        <f>SUMIFS(Лист2!$E:$E,Лист2!$A:$A,A209,Лист2!$B:$B,B209)</f>
        <v>1570</v>
      </c>
      <c r="H209">
        <f t="shared" si="6"/>
        <v>136906.35</v>
      </c>
      <c r="I209" s="15">
        <f t="shared" si="7"/>
        <v>19</v>
      </c>
    </row>
    <row r="210" spans="1:9" ht="14.25" customHeight="1" x14ac:dyDescent="0.2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SUMIFS(Лист2!$C:$C,Лист2!$A:$A,A210,Лист2!$B:$B,B210)</f>
        <v>21</v>
      </c>
      <c r="F210" s="7">
        <f>SUMIFS(Лист2!$D:$D,Лист2!$A:$A,A210,Лист2!$B:$B,B210)</f>
        <v>2460</v>
      </c>
      <c r="G210" s="7">
        <f>SUMIFS(Лист2!$E:$E,Лист2!$A:$A,A210,Лист2!$B:$B,B210)</f>
        <v>2226</v>
      </c>
      <c r="H210">
        <f t="shared" si="6"/>
        <v>184915</v>
      </c>
      <c r="I210" s="15">
        <f t="shared" si="7"/>
        <v>21</v>
      </c>
    </row>
    <row r="211" spans="1:9" ht="14.25" customHeight="1" x14ac:dyDescent="0.2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SUMIFS(Лист2!$C:$C,Лист2!$A:$A,A211,Лист2!$B:$B,B211)</f>
        <v>37</v>
      </c>
      <c r="F211" s="7">
        <f>SUMIFS(Лист2!$D:$D,Лист2!$A:$A,A211,Лист2!$B:$B,B211)</f>
        <v>4840</v>
      </c>
      <c r="G211" s="7">
        <f>SUMIFS(Лист2!$E:$E,Лист2!$A:$A,A211,Лист2!$B:$B,B211)</f>
        <v>4475</v>
      </c>
      <c r="H211">
        <f t="shared" si="6"/>
        <v>164917.05405405405</v>
      </c>
      <c r="I211" s="15">
        <f t="shared" si="7"/>
        <v>22</v>
      </c>
    </row>
    <row r="212" spans="1:9" ht="14.25" customHeight="1" x14ac:dyDescent="0.2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SUMIFS(Лист2!$C:$C,Лист2!$A:$A,A212,Лист2!$B:$B,B212)</f>
        <v>21</v>
      </c>
      <c r="F212" s="7">
        <f>SUMIFS(Лист2!$D:$D,Лист2!$A:$A,A212,Лист2!$B:$B,B212)</f>
        <v>2330</v>
      </c>
      <c r="G212" s="7">
        <f>SUMIFS(Лист2!$E:$E,Лист2!$A:$A,A212,Лист2!$B:$B,B212)</f>
        <v>2142</v>
      </c>
      <c r="H212">
        <f t="shared" si="6"/>
        <v>169602.64285714287</v>
      </c>
      <c r="I212" s="15">
        <f t="shared" si="7"/>
        <v>22</v>
      </c>
    </row>
    <row r="213" spans="1:9" ht="14.25" customHeight="1" x14ac:dyDescent="0.2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SUMIFS(Лист2!$C:$C,Лист2!$A:$A,A213,Лист2!$B:$B,B213)</f>
        <v>20</v>
      </c>
      <c r="F213" s="7">
        <f>SUMIFS(Лист2!$D:$D,Лист2!$A:$A,A213,Лист2!$B:$B,B213)</f>
        <v>1756</v>
      </c>
      <c r="G213" s="7">
        <f>SUMIFS(Лист2!$E:$E,Лист2!$A:$A,A213,Лист2!$B:$B,B213)</f>
        <v>1586</v>
      </c>
      <c r="H213">
        <f t="shared" si="6"/>
        <v>142665.52499999999</v>
      </c>
      <c r="I213" s="15">
        <f t="shared" si="7"/>
        <v>18</v>
      </c>
    </row>
    <row r="214" spans="1:9" ht="14.25" customHeight="1" x14ac:dyDescent="0.2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SUMIFS(Лист2!$C:$C,Лист2!$A:$A,A214,Лист2!$B:$B,B214)</f>
        <v>21</v>
      </c>
      <c r="F214" s="7">
        <f>SUMIFS(Лист2!$D:$D,Лист2!$A:$A,A214,Лист2!$B:$B,B214)</f>
        <v>2120</v>
      </c>
      <c r="G214" s="7">
        <f>SUMIFS(Лист2!$E:$E,Лист2!$A:$A,A214,Лист2!$B:$B,B214)</f>
        <v>1921</v>
      </c>
      <c r="H214">
        <f t="shared" si="6"/>
        <v>169004.64285714287</v>
      </c>
      <c r="I214" s="15">
        <f t="shared" si="7"/>
        <v>19</v>
      </c>
    </row>
    <row r="215" spans="1:9" ht="14.25" customHeight="1" x14ac:dyDescent="0.2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SUMIFS(Лист2!$C:$C,Лист2!$A:$A,A215,Лист2!$B:$B,B215)</f>
        <v>21</v>
      </c>
      <c r="F215" s="7">
        <f>SUMIFS(Лист2!$D:$D,Лист2!$A:$A,A215,Лист2!$B:$B,B215)</f>
        <v>1957</v>
      </c>
      <c r="G215" s="7">
        <f>SUMIFS(Лист2!$E:$E,Лист2!$A:$A,A215,Лист2!$B:$B,B215)</f>
        <v>1755</v>
      </c>
      <c r="H215">
        <f t="shared" si="6"/>
        <v>152445.64285714287</v>
      </c>
      <c r="I215" s="15">
        <f t="shared" si="7"/>
        <v>19</v>
      </c>
    </row>
    <row r="216" spans="1:9" ht="14.25" customHeight="1" x14ac:dyDescent="0.2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SUMIFS(Лист2!$C:$C,Лист2!$A:$A,A216,Лист2!$B:$B,B216)</f>
        <v>21</v>
      </c>
      <c r="F216" s="7">
        <f>SUMIFS(Лист2!$D:$D,Лист2!$A:$A,A216,Лист2!$B:$B,B216)</f>
        <v>1879</v>
      </c>
      <c r="G216" s="7">
        <f>SUMIFS(Лист2!$E:$E,Лист2!$A:$A,A216,Лист2!$B:$B,B216)</f>
        <v>1695</v>
      </c>
      <c r="H216">
        <f t="shared" si="6"/>
        <v>139738.28571428571</v>
      </c>
      <c r="I216" s="15">
        <f t="shared" si="7"/>
        <v>19</v>
      </c>
    </row>
    <row r="217" spans="1:9" ht="14.25" customHeight="1" x14ac:dyDescent="0.2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SUMIFS(Лист2!$C:$C,Лист2!$A:$A,A217,Лист2!$B:$B,B217)</f>
        <v>21</v>
      </c>
      <c r="F217" s="7">
        <f>SUMIFS(Лист2!$D:$D,Лист2!$A:$A,A217,Лист2!$B:$B,B217)</f>
        <v>2254</v>
      </c>
      <c r="G217" s="7">
        <f>SUMIFS(Лист2!$E:$E,Лист2!$A:$A,A217,Лист2!$B:$B,B217)</f>
        <v>2061</v>
      </c>
      <c r="H217">
        <f t="shared" si="6"/>
        <v>164252.5</v>
      </c>
      <c r="I217" s="15">
        <f t="shared" si="7"/>
        <v>21</v>
      </c>
    </row>
    <row r="218" spans="1:9" ht="14.25" customHeight="1" x14ac:dyDescent="0.2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SUMIFS(Лист2!$C:$C,Лист2!$A:$A,A218,Лист2!$B:$B,B218)</f>
        <v>23</v>
      </c>
      <c r="F218" s="7">
        <f>SUMIFS(Лист2!$D:$D,Лист2!$A:$A,A218,Лист2!$B:$B,B218)</f>
        <v>2522</v>
      </c>
      <c r="G218" s="7">
        <f>SUMIFS(Лист2!$E:$E,Лист2!$A:$A,A218,Лист2!$B:$B,B218)</f>
        <v>2295</v>
      </c>
      <c r="H218">
        <f t="shared" si="6"/>
        <v>173658.84782608695</v>
      </c>
      <c r="I218" s="15">
        <f t="shared" si="7"/>
        <v>22</v>
      </c>
    </row>
    <row r="219" spans="1:9" ht="14.25" customHeight="1" x14ac:dyDescent="0.2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SUMIFS(Лист2!$C:$C,Лист2!$A:$A,A219,Лист2!$B:$B,B219)</f>
        <v>22</v>
      </c>
      <c r="F219" s="7">
        <f>SUMIFS(Лист2!$D:$D,Лист2!$A:$A,A219,Лист2!$B:$B,B219)</f>
        <v>2793</v>
      </c>
      <c r="G219" s="7">
        <f>SUMIFS(Лист2!$E:$E,Лист2!$A:$A,A219,Лист2!$B:$B,B219)</f>
        <v>2539</v>
      </c>
      <c r="H219">
        <f t="shared" si="6"/>
        <v>202565.52272727274</v>
      </c>
      <c r="I219" s="15">
        <f t="shared" si="7"/>
        <v>22</v>
      </c>
    </row>
    <row r="220" spans="1:9" ht="14.25" customHeight="1" x14ac:dyDescent="0.2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SUMIFS(Лист2!$C:$C,Лист2!$A:$A,A220,Лист2!$B:$B,B220)</f>
        <v>22</v>
      </c>
      <c r="F220" s="7">
        <f>SUMIFS(Лист2!$D:$D,Лист2!$A:$A,A220,Лист2!$B:$B,B220)</f>
        <v>2454</v>
      </c>
      <c r="G220" s="7">
        <f>SUMIFS(Лист2!$E:$E,Лист2!$A:$A,A220,Лист2!$B:$B,B220)</f>
        <v>2239</v>
      </c>
      <c r="H220">
        <f t="shared" si="6"/>
        <v>176985.47727272726</v>
      </c>
      <c r="I220" s="15">
        <f t="shared" si="7"/>
        <v>22</v>
      </c>
    </row>
    <row r="221" spans="1:9" ht="14.25" customHeight="1" x14ac:dyDescent="0.2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SUMIFS(Лист2!$C:$C,Лист2!$A:$A,A221,Лист2!$B:$B,B221)</f>
        <v>15</v>
      </c>
      <c r="F221" s="7">
        <f>SUMIFS(Лист2!$D:$D,Лист2!$A:$A,A221,Лист2!$B:$B,B221)</f>
        <v>1111</v>
      </c>
      <c r="G221" s="7">
        <f>SUMIFS(Лист2!$E:$E,Лист2!$A:$A,A221,Лист2!$B:$B,B221)</f>
        <v>992</v>
      </c>
      <c r="H221">
        <f t="shared" si="6"/>
        <v>106761.7</v>
      </c>
      <c r="I221" s="15">
        <f t="shared" si="7"/>
        <v>20</v>
      </c>
    </row>
    <row r="222" spans="1:9" ht="14.25" customHeight="1" x14ac:dyDescent="0.2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SUMIFS(Лист2!$C:$C,Лист2!$A:$A,A222,Лист2!$B:$B,B222)</f>
        <v>16</v>
      </c>
      <c r="F222" s="7">
        <f>SUMIFS(Лист2!$D:$D,Лист2!$A:$A,A222,Лист2!$B:$B,B222)</f>
        <v>1012</v>
      </c>
      <c r="G222" s="7">
        <f>SUMIFS(Лист2!$E:$E,Лист2!$A:$A,A222,Лист2!$B:$B,B222)</f>
        <v>900</v>
      </c>
      <c r="H222">
        <f t="shared" si="6"/>
        <v>85302.9375</v>
      </c>
      <c r="I222" s="15">
        <f t="shared" si="7"/>
        <v>21</v>
      </c>
    </row>
    <row r="223" spans="1:9" ht="14.25" customHeight="1" x14ac:dyDescent="0.2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SUMIFS(Лист2!$C:$C,Лист2!$A:$A,A223,Лист2!$B:$B,B223)</f>
        <v>15</v>
      </c>
      <c r="F223" s="7">
        <f>SUMIFS(Лист2!$D:$D,Лист2!$A:$A,A223,Лист2!$B:$B,B223)</f>
        <v>971</v>
      </c>
      <c r="G223" s="7">
        <f>SUMIFS(Лист2!$E:$E,Лист2!$A:$A,A223,Лист2!$B:$B,B223)</f>
        <v>856</v>
      </c>
      <c r="H223">
        <f t="shared" si="6"/>
        <v>91838.5</v>
      </c>
      <c r="I223" s="15">
        <f t="shared" si="7"/>
        <v>20</v>
      </c>
    </row>
    <row r="224" spans="1:9" ht="14.25" customHeight="1" x14ac:dyDescent="0.2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SUMIFS(Лист2!$C:$C,Лист2!$A:$A,A224,Лист2!$B:$B,B224)</f>
        <v>15</v>
      </c>
      <c r="F224" s="7">
        <f>SUMIFS(Лист2!$D:$D,Лист2!$A:$A,A224,Лист2!$B:$B,B224)</f>
        <v>849</v>
      </c>
      <c r="G224" s="7">
        <f>SUMIFS(Лист2!$E:$E,Лист2!$A:$A,A224,Лист2!$B:$B,B224)</f>
        <v>740</v>
      </c>
      <c r="H224">
        <f t="shared" si="6"/>
        <v>81528.800000000003</v>
      </c>
      <c r="I224" s="15">
        <f t="shared" si="7"/>
        <v>19</v>
      </c>
    </row>
    <row r="225" spans="1:9" ht="14.25" customHeight="1" x14ac:dyDescent="0.2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SUMIFS(Лист2!$C:$C,Лист2!$A:$A,A225,Лист2!$B:$B,B225)</f>
        <v>15</v>
      </c>
      <c r="F225" s="7">
        <f>SUMIFS(Лист2!$D:$D,Лист2!$A:$A,A225,Лист2!$B:$B,B225)</f>
        <v>750</v>
      </c>
      <c r="G225" s="7">
        <f>SUMIFS(Лист2!$E:$E,Лист2!$A:$A,A225,Лист2!$B:$B,B225)</f>
        <v>647</v>
      </c>
      <c r="H225">
        <f t="shared" si="6"/>
        <v>72347.399999999994</v>
      </c>
      <c r="I225" s="15">
        <f t="shared" si="7"/>
        <v>19</v>
      </c>
    </row>
    <row r="226" spans="1:9" ht="14.25" customHeight="1" x14ac:dyDescent="0.2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SUMIFS(Лист2!$C:$C,Лист2!$A:$A,A226,Лист2!$B:$B,B226)</f>
        <v>15</v>
      </c>
      <c r="F226" s="7">
        <f>SUMIFS(Лист2!$D:$D,Лист2!$A:$A,A226,Лист2!$B:$B,B226)</f>
        <v>786</v>
      </c>
      <c r="G226" s="7">
        <f>SUMIFS(Лист2!$E:$E,Лист2!$A:$A,A226,Лист2!$B:$B,B226)</f>
        <v>695</v>
      </c>
      <c r="H226">
        <f t="shared" si="6"/>
        <v>74399.5</v>
      </c>
      <c r="I226" s="15">
        <f t="shared" si="7"/>
        <v>18</v>
      </c>
    </row>
    <row r="227" spans="1:9" ht="14.25" customHeight="1" x14ac:dyDescent="0.2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SUMIFS(Лист2!$C:$C,Лист2!$A:$A,A227,Лист2!$B:$B,B227)</f>
        <v>15</v>
      </c>
      <c r="F227" s="7">
        <f>SUMIFS(Лист2!$D:$D,Лист2!$A:$A,A227,Лист2!$B:$B,B227)</f>
        <v>751</v>
      </c>
      <c r="G227" s="7">
        <f>SUMIFS(Лист2!$E:$E,Лист2!$A:$A,A227,Лист2!$B:$B,B227)</f>
        <v>651</v>
      </c>
      <c r="H227">
        <f t="shared" si="6"/>
        <v>70214.7</v>
      </c>
      <c r="I227" s="15">
        <f t="shared" si="7"/>
        <v>18</v>
      </c>
    </row>
    <row r="228" spans="1:9" ht="14.25" customHeight="1" x14ac:dyDescent="0.2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SUMIFS(Лист2!$C:$C,Лист2!$A:$A,A228,Лист2!$B:$B,B228)</f>
        <v>17</v>
      </c>
      <c r="F228" s="7">
        <f>SUMIFS(Лист2!$D:$D,Лист2!$A:$A,A228,Лист2!$B:$B,B228)</f>
        <v>1140</v>
      </c>
      <c r="G228" s="7">
        <f>SUMIFS(Лист2!$E:$E,Лист2!$A:$A,A228,Лист2!$B:$B,B228)</f>
        <v>1016</v>
      </c>
      <c r="H228">
        <f t="shared" si="6"/>
        <v>87596.029411764699</v>
      </c>
      <c r="I228" s="15">
        <f t="shared" si="7"/>
        <v>22</v>
      </c>
    </row>
    <row r="229" spans="1:9" ht="14.25" customHeight="1" x14ac:dyDescent="0.2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SUMIFS(Лист2!$C:$C,Лист2!$A:$A,A229,Лист2!$B:$B,B229)</f>
        <v>15</v>
      </c>
      <c r="F229" s="7">
        <f>SUMIFS(Лист2!$D:$D,Лист2!$A:$A,A229,Лист2!$B:$B,B229)</f>
        <v>996</v>
      </c>
      <c r="G229" s="7">
        <f>SUMIFS(Лист2!$E:$E,Лист2!$A:$A,A229,Лист2!$B:$B,B229)</f>
        <v>888</v>
      </c>
      <c r="H229">
        <f t="shared" si="6"/>
        <v>97722.8</v>
      </c>
      <c r="I229" s="15">
        <f t="shared" si="7"/>
        <v>18</v>
      </c>
    </row>
    <row r="230" spans="1:9" ht="14.25" customHeight="1" x14ac:dyDescent="0.2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SUMIFS(Лист2!$C:$C,Лист2!$A:$A,A230,Лист2!$B:$B,B230)</f>
        <v>15</v>
      </c>
      <c r="F230" s="7">
        <f>SUMIFS(Лист2!$D:$D,Лист2!$A:$A,A230,Лист2!$B:$B,B230)</f>
        <v>845</v>
      </c>
      <c r="G230" s="7">
        <f>SUMIFS(Лист2!$E:$E,Лист2!$A:$A,A230,Лист2!$B:$B,B230)</f>
        <v>743</v>
      </c>
      <c r="H230">
        <f t="shared" si="6"/>
        <v>74922</v>
      </c>
      <c r="I230" s="15">
        <f t="shared" si="7"/>
        <v>20</v>
      </c>
    </row>
    <row r="231" spans="1:9" ht="14.25" customHeight="1" x14ac:dyDescent="0.2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SUMIFS(Лист2!$C:$C,Лист2!$A:$A,A231,Лист2!$B:$B,B231)</f>
        <v>17</v>
      </c>
      <c r="F231" s="7">
        <f>SUMIFS(Лист2!$D:$D,Лист2!$A:$A,A231,Лист2!$B:$B,B231)</f>
        <v>1045</v>
      </c>
      <c r="G231" s="7">
        <f>SUMIFS(Лист2!$E:$E,Лист2!$A:$A,A231,Лист2!$B:$B,B231)</f>
        <v>930</v>
      </c>
      <c r="H231">
        <f t="shared" si="6"/>
        <v>81220.676470588238</v>
      </c>
      <c r="I231" s="15">
        <f t="shared" si="7"/>
        <v>21</v>
      </c>
    </row>
    <row r="232" spans="1:9" ht="14.25" customHeight="1" x14ac:dyDescent="0.2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SUMIFS(Лист2!$C:$C,Лист2!$A:$A,A232,Лист2!$B:$B,B232)</f>
        <v>16</v>
      </c>
      <c r="F232" s="7">
        <f>SUMIFS(Лист2!$D:$D,Лист2!$A:$A,A232,Лист2!$B:$B,B232)</f>
        <v>1050</v>
      </c>
      <c r="G232" s="7">
        <f>SUMIFS(Лист2!$E:$E,Лист2!$A:$A,A232,Лист2!$B:$B,B232)</f>
        <v>938</v>
      </c>
      <c r="H232">
        <f t="shared" si="6"/>
        <v>89390.90625</v>
      </c>
      <c r="I232" s="15">
        <f t="shared" si="7"/>
        <v>21</v>
      </c>
    </row>
    <row r="233" spans="1:9" ht="14.25" customHeight="1" x14ac:dyDescent="0.2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SUMIFS(Лист2!$C:$C,Лист2!$A:$A,A233,Лист2!$B:$B,B233)</f>
        <v>15</v>
      </c>
      <c r="F233" s="7">
        <f>SUMIFS(Лист2!$D:$D,Лист2!$A:$A,A233,Лист2!$B:$B,B233)</f>
        <v>922</v>
      </c>
      <c r="G233" s="7">
        <f>SUMIFS(Лист2!$E:$E,Лист2!$A:$A,A233,Лист2!$B:$B,B233)</f>
        <v>823</v>
      </c>
      <c r="H233">
        <f t="shared" si="6"/>
        <v>92278.6</v>
      </c>
      <c r="I233" s="15">
        <f t="shared" si="7"/>
        <v>19</v>
      </c>
    </row>
    <row r="234" spans="1:9" ht="14.25" customHeight="1" x14ac:dyDescent="0.2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SUMIFS(Лист2!$C:$C,Лист2!$A:$A,A234,Лист2!$B:$B,B234)</f>
        <v>15</v>
      </c>
      <c r="F234" s="7">
        <f>SUMIFS(Лист2!$D:$D,Лист2!$A:$A,A234,Лист2!$B:$B,B234)</f>
        <v>780</v>
      </c>
      <c r="G234" s="7">
        <f>SUMIFS(Лист2!$E:$E,Лист2!$A:$A,A234,Лист2!$B:$B,B234)</f>
        <v>690</v>
      </c>
      <c r="H234">
        <f t="shared" si="6"/>
        <v>73525.8</v>
      </c>
      <c r="I234" s="15">
        <f t="shared" si="7"/>
        <v>18</v>
      </c>
    </row>
    <row r="235" spans="1:9" ht="14.25" customHeight="1" x14ac:dyDescent="0.2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SUMIFS(Лист2!$C:$C,Лист2!$A:$A,A235,Лист2!$B:$B,B235)</f>
        <v>15</v>
      </c>
      <c r="F235" s="7">
        <f>SUMIFS(Лист2!$D:$D,Лист2!$A:$A,A235,Лист2!$B:$B,B235)</f>
        <v>898</v>
      </c>
      <c r="G235" s="7">
        <f>SUMIFS(Лист2!$E:$E,Лист2!$A:$A,A235,Лист2!$B:$B,B235)</f>
        <v>795</v>
      </c>
      <c r="H235">
        <f t="shared" si="6"/>
        <v>82900.5</v>
      </c>
      <c r="I235" s="15">
        <f t="shared" si="7"/>
        <v>20</v>
      </c>
    </row>
    <row r="236" spans="1:9" ht="14.25" customHeight="1" x14ac:dyDescent="0.2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SUMIFS(Лист2!$C:$C,Лист2!$A:$A,A236,Лист2!$B:$B,B236)</f>
        <v>15</v>
      </c>
      <c r="F236" s="7">
        <f>SUMIFS(Лист2!$D:$D,Лист2!$A:$A,A236,Лист2!$B:$B,B236)</f>
        <v>784</v>
      </c>
      <c r="G236" s="7">
        <f>SUMIFS(Лист2!$E:$E,Лист2!$A:$A,A236,Лист2!$B:$B,B236)</f>
        <v>696</v>
      </c>
      <c r="H236">
        <f t="shared" si="6"/>
        <v>74667.3</v>
      </c>
      <c r="I236" s="15">
        <f t="shared" si="7"/>
        <v>18</v>
      </c>
    </row>
    <row r="237" spans="1:9" ht="14.25" customHeight="1" x14ac:dyDescent="0.2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SUMIFS(Лист2!$C:$C,Лист2!$A:$A,A237,Лист2!$B:$B,B237)</f>
        <v>15</v>
      </c>
      <c r="F237" s="7">
        <f>SUMIFS(Лист2!$D:$D,Лист2!$A:$A,A237,Лист2!$B:$B,B237)</f>
        <v>839</v>
      </c>
      <c r="G237" s="7">
        <f>SUMIFS(Лист2!$E:$E,Лист2!$A:$A,A237,Лист2!$B:$B,B237)</f>
        <v>733</v>
      </c>
      <c r="H237">
        <f t="shared" si="6"/>
        <v>81403.8</v>
      </c>
      <c r="I237" s="15">
        <f t="shared" si="7"/>
        <v>19</v>
      </c>
    </row>
    <row r="238" spans="1:9" ht="14.25" customHeight="1" x14ac:dyDescent="0.2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SUMIFS(Лист2!$C:$C,Лист2!$A:$A,A238,Лист2!$B:$B,B238)</f>
        <v>17</v>
      </c>
      <c r="F238" s="7">
        <f>SUMIFS(Лист2!$D:$D,Лист2!$A:$A,A238,Лист2!$B:$B,B238)</f>
        <v>1294</v>
      </c>
      <c r="G238" s="7">
        <f>SUMIFS(Лист2!$E:$E,Лист2!$A:$A,A238,Лист2!$B:$B,B238)</f>
        <v>1155</v>
      </c>
      <c r="H238">
        <f t="shared" si="6"/>
        <v>109058.91176470589</v>
      </c>
      <c r="I238" s="15">
        <f t="shared" si="7"/>
        <v>21</v>
      </c>
    </row>
    <row r="239" spans="1:9" ht="14.25" customHeight="1" x14ac:dyDescent="0.2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SUMIFS(Лист2!$C:$C,Лист2!$A:$A,A239,Лист2!$B:$B,B239)</f>
        <v>17</v>
      </c>
      <c r="F239" s="7">
        <f>SUMIFS(Лист2!$D:$D,Лист2!$A:$A,A239,Лист2!$B:$B,B239)</f>
        <v>1142</v>
      </c>
      <c r="G239" s="7">
        <f>SUMIFS(Лист2!$E:$E,Лист2!$A:$A,A239,Лист2!$B:$B,B239)</f>
        <v>1020</v>
      </c>
      <c r="H239">
        <f t="shared" si="6"/>
        <v>88698.088235294112</v>
      </c>
      <c r="I239" s="15">
        <f t="shared" si="7"/>
        <v>22</v>
      </c>
    </row>
    <row r="240" spans="1:9" ht="14.25" customHeight="1" x14ac:dyDescent="0.2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SUMIFS(Лист2!$C:$C,Лист2!$A:$A,A240,Лист2!$B:$B,B240)</f>
        <v>15</v>
      </c>
      <c r="F240" s="7">
        <f>SUMIFS(Лист2!$D:$D,Лист2!$A:$A,A240,Лист2!$B:$B,B240)</f>
        <v>791</v>
      </c>
      <c r="G240" s="7">
        <f>SUMIFS(Лист2!$E:$E,Лист2!$A:$A,A240,Лист2!$B:$B,B240)</f>
        <v>691</v>
      </c>
      <c r="H240">
        <f t="shared" si="6"/>
        <v>73537.899999999994</v>
      </c>
      <c r="I240" s="15">
        <f t="shared" si="7"/>
        <v>18</v>
      </c>
    </row>
    <row r="241" spans="1:9" ht="14.25" customHeight="1" x14ac:dyDescent="0.2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SUMIFS(Лист2!$C:$C,Лист2!$A:$A,A241,Лист2!$B:$B,B241)</f>
        <v>15</v>
      </c>
      <c r="F241" s="7">
        <f>SUMIFS(Лист2!$D:$D,Лист2!$A:$A,A241,Лист2!$B:$B,B241)</f>
        <v>950</v>
      </c>
      <c r="G241" s="7">
        <f>SUMIFS(Лист2!$E:$E,Лист2!$A:$A,A241,Лист2!$B:$B,B241)</f>
        <v>848</v>
      </c>
      <c r="H241">
        <f t="shared" si="6"/>
        <v>98102.5</v>
      </c>
      <c r="I241" s="15">
        <f t="shared" si="7"/>
        <v>19</v>
      </c>
    </row>
    <row r="242" spans="1:9" ht="14.25" customHeight="1" x14ac:dyDescent="0.2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SUMIFS(Лист2!$C:$C,Лист2!$A:$A,A242,Лист2!$B:$B,B242)</f>
        <v>15</v>
      </c>
      <c r="F242" s="7">
        <f>SUMIFS(Лист2!$D:$D,Лист2!$A:$A,A242,Лист2!$B:$B,B242)</f>
        <v>879</v>
      </c>
      <c r="G242" s="7">
        <f>SUMIFS(Лист2!$E:$E,Лист2!$A:$A,A242,Лист2!$B:$B,B242)</f>
        <v>768</v>
      </c>
      <c r="H242">
        <f t="shared" si="6"/>
        <v>84652.4</v>
      </c>
      <c r="I242" s="15">
        <f t="shared" si="7"/>
        <v>19</v>
      </c>
    </row>
    <row r="243" spans="1:9" ht="14.25" customHeight="1" x14ac:dyDescent="0.2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SUMIFS(Лист2!$C:$C,Лист2!$A:$A,A243,Лист2!$B:$B,B243)</f>
        <v>15</v>
      </c>
      <c r="F243" s="7">
        <f>SUMIFS(Лист2!$D:$D,Лист2!$A:$A,A243,Лист2!$B:$B,B243)</f>
        <v>805</v>
      </c>
      <c r="G243" s="7">
        <f>SUMIFS(Лист2!$E:$E,Лист2!$A:$A,A243,Лист2!$B:$B,B243)</f>
        <v>703</v>
      </c>
      <c r="H243">
        <f t="shared" si="6"/>
        <v>74926.3</v>
      </c>
      <c r="I243" s="15">
        <f t="shared" si="7"/>
        <v>19</v>
      </c>
    </row>
    <row r="244" spans="1:9" ht="14.25" customHeight="1" x14ac:dyDescent="0.2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SUMIFS(Лист2!$C:$C,Лист2!$A:$A,A244,Лист2!$B:$B,B244)</f>
        <v>17</v>
      </c>
      <c r="F244" s="7">
        <f>SUMIFS(Лист2!$D:$D,Лист2!$A:$A,A244,Лист2!$B:$B,B244)</f>
        <v>1128</v>
      </c>
      <c r="G244" s="7">
        <f>SUMIFS(Лист2!$E:$E,Лист2!$A:$A,A244,Лист2!$B:$B,B244)</f>
        <v>1001</v>
      </c>
      <c r="H244">
        <f t="shared" si="6"/>
        <v>91064.647058823524</v>
      </c>
      <c r="I244" s="15">
        <f t="shared" si="7"/>
        <v>21</v>
      </c>
    </row>
    <row r="245" spans="1:9" ht="14.25" customHeight="1" x14ac:dyDescent="0.2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SUMIFS(Лист2!$C:$C,Лист2!$A:$A,A245,Лист2!$B:$B,B245)</f>
        <v>15</v>
      </c>
      <c r="F245" s="7">
        <f>SUMIFS(Лист2!$D:$D,Лист2!$A:$A,A245,Лист2!$B:$B,B245)</f>
        <v>747</v>
      </c>
      <c r="G245" s="7">
        <f>SUMIFS(Лист2!$E:$E,Лист2!$A:$A,A245,Лист2!$B:$B,B245)</f>
        <v>647</v>
      </c>
      <c r="H245">
        <f t="shared" si="6"/>
        <v>81002.2</v>
      </c>
      <c r="I245" s="15">
        <f t="shared" si="7"/>
        <v>20</v>
      </c>
    </row>
    <row r="246" spans="1:9" ht="14.25" customHeight="1" x14ac:dyDescent="0.2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SUMIFS(Лист2!$C:$C,Лист2!$A:$A,A246,Лист2!$B:$B,B246)</f>
        <v>15</v>
      </c>
      <c r="F246" s="7">
        <f>SUMIFS(Лист2!$D:$D,Лист2!$A:$A,A246,Лист2!$B:$B,B246)</f>
        <v>930</v>
      </c>
      <c r="G246" s="7">
        <f>SUMIFS(Лист2!$E:$E,Лист2!$A:$A,A246,Лист2!$B:$B,B246)</f>
        <v>827</v>
      </c>
      <c r="H246">
        <f t="shared" si="6"/>
        <v>93536.5</v>
      </c>
      <c r="I246" s="15">
        <f t="shared" si="7"/>
        <v>21</v>
      </c>
    </row>
    <row r="247" spans="1:9" ht="14.25" customHeight="1" x14ac:dyDescent="0.2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SUMIFS(Лист2!$C:$C,Лист2!$A:$A,A247,Лист2!$B:$B,B247)</f>
        <v>15</v>
      </c>
      <c r="F247" s="7">
        <f>SUMIFS(Лист2!$D:$D,Лист2!$A:$A,A247,Лист2!$B:$B,B247)</f>
        <v>692</v>
      </c>
      <c r="G247" s="7">
        <f>SUMIFS(Лист2!$E:$E,Лист2!$A:$A,A247,Лист2!$B:$B,B247)</f>
        <v>591</v>
      </c>
      <c r="H247">
        <f t="shared" si="6"/>
        <v>70699.3</v>
      </c>
      <c r="I247" s="15">
        <f t="shared" si="7"/>
        <v>20</v>
      </c>
    </row>
    <row r="248" spans="1:9" ht="14.25" customHeight="1" x14ac:dyDescent="0.2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SUMIFS(Лист2!$C:$C,Лист2!$A:$A,A248,Лист2!$B:$B,B248)</f>
        <v>15</v>
      </c>
      <c r="F248" s="7">
        <f>SUMIFS(Лист2!$D:$D,Лист2!$A:$A,A248,Лист2!$B:$B,B248)</f>
        <v>623</v>
      </c>
      <c r="G248" s="7">
        <f>SUMIFS(Лист2!$E:$E,Лист2!$A:$A,A248,Лист2!$B:$B,B248)</f>
        <v>535</v>
      </c>
      <c r="H248">
        <f t="shared" si="6"/>
        <v>72081.100000000006</v>
      </c>
      <c r="I248" s="15">
        <f t="shared" si="7"/>
        <v>19</v>
      </c>
    </row>
    <row r="249" spans="1:9" ht="14.25" customHeight="1" x14ac:dyDescent="0.2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SUMIFS(Лист2!$C:$C,Лист2!$A:$A,A249,Лист2!$B:$B,B249)</f>
        <v>15</v>
      </c>
      <c r="F249" s="7">
        <f>SUMIFS(Лист2!$D:$D,Лист2!$A:$A,A249,Лист2!$B:$B,B249)</f>
        <v>390</v>
      </c>
      <c r="G249" s="7">
        <f>SUMIFS(Лист2!$E:$E,Лист2!$A:$A,A249,Лист2!$B:$B,B249)</f>
        <v>315</v>
      </c>
      <c r="H249">
        <f t="shared" si="6"/>
        <v>40723.699999999997</v>
      </c>
      <c r="I249" s="15">
        <f t="shared" si="7"/>
        <v>19</v>
      </c>
    </row>
    <row r="250" spans="1:9" ht="14.25" customHeight="1" x14ac:dyDescent="0.2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SUMIFS(Лист2!$C:$C,Лист2!$A:$A,A250,Лист2!$B:$B,B250)</f>
        <v>18</v>
      </c>
      <c r="F250" s="7">
        <f>SUMIFS(Лист2!$D:$D,Лист2!$A:$A,A250,Лист2!$B:$B,B250)</f>
        <v>1599</v>
      </c>
      <c r="G250" s="7">
        <f>SUMIFS(Лист2!$E:$E,Лист2!$A:$A,A250,Лист2!$B:$B,B250)</f>
        <v>1450</v>
      </c>
      <c r="H250">
        <f t="shared" si="6"/>
        <v>131161.91666666666</v>
      </c>
      <c r="I250" s="15">
        <f t="shared" si="7"/>
        <v>18</v>
      </c>
    </row>
    <row r="251" spans="1:9" ht="14.25" customHeight="1" x14ac:dyDescent="0.2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SUMIFS(Лист2!$C:$C,Лист2!$A:$A,A251,Лист2!$B:$B,B251)</f>
        <v>15</v>
      </c>
      <c r="F251" s="7">
        <f>SUMIFS(Лист2!$D:$D,Лист2!$A:$A,A251,Лист2!$B:$B,B251)</f>
        <v>274</v>
      </c>
      <c r="G251" s="7">
        <f>SUMIFS(Лист2!$E:$E,Лист2!$A:$A,A251,Лист2!$B:$B,B251)</f>
        <v>203</v>
      </c>
      <c r="H251">
        <f t="shared" si="6"/>
        <v>28882.9</v>
      </c>
      <c r="I251" s="15">
        <f t="shared" si="7"/>
        <v>18</v>
      </c>
    </row>
    <row r="252" spans="1:9" ht="14.25" customHeight="1" x14ac:dyDescent="0.2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SUMIFS(Лист2!$C:$C,Лист2!$A:$A,A252,Лист2!$B:$B,B252)</f>
        <v>15</v>
      </c>
      <c r="F252" s="7">
        <f>SUMIFS(Лист2!$D:$D,Лист2!$A:$A,A252,Лист2!$B:$B,B252)</f>
        <v>812</v>
      </c>
      <c r="G252" s="7">
        <f>SUMIFS(Лист2!$E:$E,Лист2!$A:$A,A252,Лист2!$B:$B,B252)</f>
        <v>711</v>
      </c>
      <c r="H252">
        <f t="shared" si="6"/>
        <v>76803.600000000006</v>
      </c>
      <c r="I252" s="15">
        <f t="shared" si="7"/>
        <v>22</v>
      </c>
    </row>
    <row r="253" spans="1:9" ht="14.25" customHeight="1" x14ac:dyDescent="0.2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SUMIFS(Лист2!$C:$C,Лист2!$A:$A,A253,Лист2!$B:$B,B253)</f>
        <v>15</v>
      </c>
      <c r="F253" s="7">
        <f>SUMIFS(Лист2!$D:$D,Лист2!$A:$A,A253,Лист2!$B:$B,B253)</f>
        <v>294</v>
      </c>
      <c r="G253" s="7">
        <f>SUMIFS(Лист2!$E:$E,Лист2!$A:$A,A253,Лист2!$B:$B,B253)</f>
        <v>225</v>
      </c>
      <c r="H253">
        <f t="shared" si="6"/>
        <v>33704.800000000003</v>
      </c>
      <c r="I253" s="15">
        <f t="shared" si="7"/>
        <v>18</v>
      </c>
    </row>
    <row r="254" spans="1:9" ht="14.25" customHeight="1" x14ac:dyDescent="0.2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SUMIFS(Лист2!$C:$C,Лист2!$A:$A,A254,Лист2!$B:$B,B254)</f>
        <v>15</v>
      </c>
      <c r="F254" s="7">
        <f>SUMIFS(Лист2!$D:$D,Лист2!$A:$A,A254,Лист2!$B:$B,B254)</f>
        <v>624</v>
      </c>
      <c r="G254" s="7">
        <f>SUMIFS(Лист2!$E:$E,Лист2!$A:$A,A254,Лист2!$B:$B,B254)</f>
        <v>538</v>
      </c>
      <c r="H254">
        <f t="shared" si="6"/>
        <v>65975.5</v>
      </c>
      <c r="I254" s="15">
        <f t="shared" si="7"/>
        <v>20</v>
      </c>
    </row>
    <row r="255" spans="1:9" ht="14.25" customHeight="1" x14ac:dyDescent="0.2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SUMIFS(Лист2!$C:$C,Лист2!$A:$A,A255,Лист2!$B:$B,B255)</f>
        <v>15</v>
      </c>
      <c r="F255" s="7">
        <f>SUMIFS(Лист2!$D:$D,Лист2!$A:$A,A255,Лист2!$B:$B,B255)</f>
        <v>749</v>
      </c>
      <c r="G255" s="7">
        <f>SUMIFS(Лист2!$E:$E,Лист2!$A:$A,A255,Лист2!$B:$B,B255)</f>
        <v>652</v>
      </c>
      <c r="H255">
        <f t="shared" si="6"/>
        <v>73574.899999999994</v>
      </c>
      <c r="I255" s="15">
        <f t="shared" si="7"/>
        <v>21</v>
      </c>
    </row>
    <row r="256" spans="1:9" ht="14.25" customHeight="1" x14ac:dyDescent="0.2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SUMIFS(Лист2!$C:$C,Лист2!$A:$A,A256,Лист2!$B:$B,B256)</f>
        <v>15</v>
      </c>
      <c r="F256" s="7">
        <f>SUMIFS(Лист2!$D:$D,Лист2!$A:$A,A256,Лист2!$B:$B,B256)</f>
        <v>760</v>
      </c>
      <c r="G256" s="7">
        <f>SUMIFS(Лист2!$E:$E,Лист2!$A:$A,A256,Лист2!$B:$B,B256)</f>
        <v>664</v>
      </c>
      <c r="H256">
        <f t="shared" si="6"/>
        <v>73657.2</v>
      </c>
      <c r="I256" s="15">
        <f t="shared" si="7"/>
        <v>21</v>
      </c>
    </row>
    <row r="257" spans="1:9" ht="14.25" customHeight="1" x14ac:dyDescent="0.2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SUMIFS(Лист2!$C:$C,Лист2!$A:$A,A257,Лист2!$B:$B,B257)</f>
        <v>15</v>
      </c>
      <c r="F257" s="7">
        <f>SUMIFS(Лист2!$D:$D,Лист2!$A:$A,A257,Лист2!$B:$B,B257)</f>
        <v>455</v>
      </c>
      <c r="G257" s="7">
        <f>SUMIFS(Лист2!$E:$E,Лист2!$A:$A,A257,Лист2!$B:$B,B257)</f>
        <v>381</v>
      </c>
      <c r="H257">
        <f t="shared" si="6"/>
        <v>46306.2</v>
      </c>
      <c r="I257" s="15">
        <f t="shared" si="7"/>
        <v>19</v>
      </c>
    </row>
    <row r="258" spans="1:9" ht="14.25" customHeight="1" x14ac:dyDescent="0.2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SUMIFS(Лист2!$C:$C,Лист2!$A:$A,A258,Лист2!$B:$B,B258)</f>
        <v>18</v>
      </c>
      <c r="F258" s="7">
        <f>SUMIFS(Лист2!$D:$D,Лист2!$A:$A,A258,Лист2!$B:$B,B258)</f>
        <v>1505</v>
      </c>
      <c r="G258" s="7">
        <f>SUMIFS(Лист2!$E:$E,Лист2!$A:$A,A258,Лист2!$B:$B,B258)</f>
        <v>1368</v>
      </c>
      <c r="H258">
        <f t="shared" si="6"/>
        <v>126504</v>
      </c>
      <c r="I258" s="15">
        <f t="shared" si="7"/>
        <v>18</v>
      </c>
    </row>
    <row r="259" spans="1:9" ht="14.25" customHeight="1" x14ac:dyDescent="0.2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SUMIFS(Лист2!$C:$C,Лист2!$A:$A,A259,Лист2!$B:$B,B259)</f>
        <v>15</v>
      </c>
      <c r="F259" s="7">
        <f>SUMIFS(Лист2!$D:$D,Лист2!$A:$A,A259,Лист2!$B:$B,B259)</f>
        <v>599</v>
      </c>
      <c r="G259" s="7">
        <f>SUMIFS(Лист2!$E:$E,Лист2!$A:$A,A259,Лист2!$B:$B,B259)</f>
        <v>515</v>
      </c>
      <c r="H259">
        <f t="shared" ref="H259:H322" si="8">D259/E259</f>
        <v>63327.5</v>
      </c>
      <c r="I259" s="15">
        <f t="shared" ref="I259:I322" si="9">WEEKNUM(A259,2)</f>
        <v>20</v>
      </c>
    </row>
    <row r="260" spans="1:9" ht="14.25" customHeight="1" x14ac:dyDescent="0.2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SUMIFS(Лист2!$C:$C,Лист2!$A:$A,A260,Лист2!$B:$B,B260)</f>
        <v>17</v>
      </c>
      <c r="F260" s="7">
        <f>SUMIFS(Лист2!$D:$D,Лист2!$A:$A,A260,Лист2!$B:$B,B260)</f>
        <v>1186</v>
      </c>
      <c r="G260" s="7">
        <f>SUMIFS(Лист2!$E:$E,Лист2!$A:$A,A260,Лист2!$B:$B,B260)</f>
        <v>1054</v>
      </c>
      <c r="H260">
        <f t="shared" si="8"/>
        <v>93654.088235294112</v>
      </c>
      <c r="I260" s="15">
        <f t="shared" si="9"/>
        <v>22</v>
      </c>
    </row>
    <row r="261" spans="1:9" ht="14.25" customHeight="1" x14ac:dyDescent="0.2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SUMIFS(Лист2!$C:$C,Лист2!$A:$A,A261,Лист2!$B:$B,B261)</f>
        <v>15</v>
      </c>
      <c r="F261" s="7">
        <f>SUMIFS(Лист2!$D:$D,Лист2!$A:$A,A261,Лист2!$B:$B,B261)</f>
        <v>455</v>
      </c>
      <c r="G261" s="7">
        <f>SUMIFS(Лист2!$E:$E,Лист2!$A:$A,A261,Лист2!$B:$B,B261)</f>
        <v>384</v>
      </c>
      <c r="H261">
        <f t="shared" si="8"/>
        <v>44353.5</v>
      </c>
      <c r="I261" s="15">
        <f t="shared" si="9"/>
        <v>18</v>
      </c>
    </row>
    <row r="262" spans="1:9" ht="14.25" customHeight="1" x14ac:dyDescent="0.2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SUMIFS(Лист2!$C:$C,Лист2!$A:$A,A262,Лист2!$B:$B,B262)</f>
        <v>17</v>
      </c>
      <c r="F262" s="7">
        <f>SUMIFS(Лист2!$D:$D,Лист2!$A:$A,A262,Лист2!$B:$B,B262)</f>
        <v>1697</v>
      </c>
      <c r="G262" s="7">
        <f>SUMIFS(Лист2!$E:$E,Лист2!$A:$A,A262,Лист2!$B:$B,B262)</f>
        <v>1499</v>
      </c>
      <c r="H262">
        <f t="shared" si="8"/>
        <v>144544.23529411765</v>
      </c>
      <c r="I262" s="15">
        <f t="shared" si="9"/>
        <v>22</v>
      </c>
    </row>
    <row r="263" spans="1:9" ht="14.25" customHeight="1" x14ac:dyDescent="0.2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SUMIFS(Лист2!$C:$C,Лист2!$A:$A,A263,Лист2!$B:$B,B263)</f>
        <v>15</v>
      </c>
      <c r="F263" s="7">
        <f>SUMIFS(Лист2!$D:$D,Лист2!$A:$A,A263,Лист2!$B:$B,B263)</f>
        <v>467</v>
      </c>
      <c r="G263" s="7">
        <f>SUMIFS(Лист2!$E:$E,Лист2!$A:$A,A263,Лист2!$B:$B,B263)</f>
        <v>389</v>
      </c>
      <c r="H263">
        <f t="shared" si="8"/>
        <v>49286.1</v>
      </c>
      <c r="I263" s="15">
        <f t="shared" si="9"/>
        <v>19</v>
      </c>
    </row>
    <row r="264" spans="1:9" ht="14.25" customHeight="1" x14ac:dyDescent="0.2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SUMIFS(Лист2!$C:$C,Лист2!$A:$A,A264,Лист2!$B:$B,B264)</f>
        <v>15</v>
      </c>
      <c r="F264" s="7">
        <f>SUMIFS(Лист2!$D:$D,Лист2!$A:$A,A264,Лист2!$B:$B,B264)</f>
        <v>840</v>
      </c>
      <c r="G264" s="7">
        <f>SUMIFS(Лист2!$E:$E,Лист2!$A:$A,A264,Лист2!$B:$B,B264)</f>
        <v>725</v>
      </c>
      <c r="H264">
        <f t="shared" si="8"/>
        <v>87671.7</v>
      </c>
      <c r="I264" s="15">
        <f t="shared" si="9"/>
        <v>21</v>
      </c>
    </row>
    <row r="265" spans="1:9" ht="14.25" customHeight="1" x14ac:dyDescent="0.2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SUMIFS(Лист2!$C:$C,Лист2!$A:$A,A265,Лист2!$B:$B,B265)</f>
        <v>17</v>
      </c>
      <c r="F265" s="7">
        <f>SUMIFS(Лист2!$D:$D,Лист2!$A:$A,A265,Лист2!$B:$B,B265)</f>
        <v>1097</v>
      </c>
      <c r="G265" s="7">
        <f>SUMIFS(Лист2!$E:$E,Лист2!$A:$A,A265,Лист2!$B:$B,B265)</f>
        <v>968</v>
      </c>
      <c r="H265">
        <f t="shared" si="8"/>
        <v>87525.176470588238</v>
      </c>
      <c r="I265" s="15">
        <f t="shared" si="9"/>
        <v>22</v>
      </c>
    </row>
    <row r="266" spans="1:9" ht="14.25" customHeight="1" x14ac:dyDescent="0.2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SUMIFS(Лист2!$C:$C,Лист2!$A:$A,A266,Лист2!$B:$B,B266)</f>
        <v>15</v>
      </c>
      <c r="F266" s="7">
        <f>SUMIFS(Лист2!$D:$D,Лист2!$A:$A,A266,Лист2!$B:$B,B266)</f>
        <v>835</v>
      </c>
      <c r="G266" s="7">
        <f>SUMIFS(Лист2!$E:$E,Лист2!$A:$A,A266,Лист2!$B:$B,B266)</f>
        <v>736</v>
      </c>
      <c r="H266">
        <f t="shared" si="8"/>
        <v>82045.8</v>
      </c>
      <c r="I266" s="15">
        <f t="shared" si="9"/>
        <v>22</v>
      </c>
    </row>
    <row r="267" spans="1:9" ht="14.25" customHeight="1" x14ac:dyDescent="0.2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SUMIFS(Лист2!$C:$C,Лист2!$A:$A,A267,Лист2!$B:$B,B267)</f>
        <v>15</v>
      </c>
      <c r="F267" s="7">
        <f>SUMIFS(Лист2!$D:$D,Лист2!$A:$A,A267,Лист2!$B:$B,B267)</f>
        <v>262</v>
      </c>
      <c r="G267" s="7">
        <f>SUMIFS(Лист2!$E:$E,Лист2!$A:$A,A267,Лист2!$B:$B,B267)</f>
        <v>195</v>
      </c>
      <c r="H267">
        <f t="shared" si="8"/>
        <v>26979.4</v>
      </c>
      <c r="I267" s="15">
        <f t="shared" si="9"/>
        <v>18</v>
      </c>
    </row>
    <row r="268" spans="1:9" ht="14.25" customHeight="1" x14ac:dyDescent="0.2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SUMIFS(Лист2!$C:$C,Лист2!$A:$A,A268,Лист2!$B:$B,B268)</f>
        <v>15</v>
      </c>
      <c r="F268" s="7">
        <f>SUMIFS(Лист2!$D:$D,Лист2!$A:$A,A268,Лист2!$B:$B,B268)</f>
        <v>706</v>
      </c>
      <c r="G268" s="7">
        <f>SUMIFS(Лист2!$E:$E,Лист2!$A:$A,A268,Лист2!$B:$B,B268)</f>
        <v>608</v>
      </c>
      <c r="H268">
        <f t="shared" si="8"/>
        <v>79885.7</v>
      </c>
      <c r="I268" s="15">
        <f t="shared" si="9"/>
        <v>19</v>
      </c>
    </row>
    <row r="269" spans="1:9" ht="14.25" customHeight="1" x14ac:dyDescent="0.2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SUMIFS(Лист2!$C:$C,Лист2!$A:$A,A269,Лист2!$B:$B,B269)</f>
        <v>15</v>
      </c>
      <c r="F269" s="7">
        <f>SUMIFS(Лист2!$D:$D,Лист2!$A:$A,A269,Лист2!$B:$B,B269)</f>
        <v>492</v>
      </c>
      <c r="G269" s="7">
        <f>SUMIFS(Лист2!$E:$E,Лист2!$A:$A,A269,Лист2!$B:$B,B269)</f>
        <v>412</v>
      </c>
      <c r="H269">
        <f t="shared" si="8"/>
        <v>53250.6</v>
      </c>
      <c r="I269" s="15">
        <f t="shared" si="9"/>
        <v>19</v>
      </c>
    </row>
    <row r="270" spans="1:9" ht="14.25" customHeight="1" x14ac:dyDescent="0.2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SUMIFS(Лист2!$C:$C,Лист2!$A:$A,A270,Лист2!$B:$B,B270)</f>
        <v>15</v>
      </c>
      <c r="F270" s="7">
        <f>SUMIFS(Лист2!$D:$D,Лист2!$A:$A,A270,Лист2!$B:$B,B270)</f>
        <v>480</v>
      </c>
      <c r="G270" s="7">
        <f>SUMIFS(Лист2!$E:$E,Лист2!$A:$A,A270,Лист2!$B:$B,B270)</f>
        <v>398</v>
      </c>
      <c r="H270">
        <f t="shared" si="8"/>
        <v>51285.1</v>
      </c>
      <c r="I270" s="15">
        <f t="shared" si="9"/>
        <v>19</v>
      </c>
    </row>
    <row r="271" spans="1:9" ht="14.25" customHeight="1" x14ac:dyDescent="0.2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SUMIFS(Лист2!$C:$C,Лист2!$A:$A,A271,Лист2!$B:$B,B271)</f>
        <v>15</v>
      </c>
      <c r="F271" s="7">
        <f>SUMIFS(Лист2!$D:$D,Лист2!$A:$A,A271,Лист2!$B:$B,B271)</f>
        <v>779</v>
      </c>
      <c r="G271" s="7">
        <f>SUMIFS(Лист2!$E:$E,Лист2!$A:$A,A271,Лист2!$B:$B,B271)</f>
        <v>673</v>
      </c>
      <c r="H271">
        <f t="shared" si="8"/>
        <v>78991</v>
      </c>
      <c r="I271" s="15">
        <f t="shared" si="9"/>
        <v>21</v>
      </c>
    </row>
    <row r="272" spans="1:9" ht="14.25" customHeight="1" x14ac:dyDescent="0.2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SUMIFS(Лист2!$C:$C,Лист2!$A:$A,A272,Лист2!$B:$B,B272)</f>
        <v>19</v>
      </c>
      <c r="F272" s="7">
        <f>SUMIFS(Лист2!$D:$D,Лист2!$A:$A,A272,Лист2!$B:$B,B272)</f>
        <v>2039</v>
      </c>
      <c r="G272" s="7">
        <f>SUMIFS(Лист2!$E:$E,Лист2!$A:$A,A272,Лист2!$B:$B,B272)</f>
        <v>1868</v>
      </c>
      <c r="H272">
        <f t="shared" si="8"/>
        <v>153835.97368421053</v>
      </c>
      <c r="I272" s="15">
        <f t="shared" si="9"/>
        <v>20</v>
      </c>
    </row>
    <row r="273" spans="1:9" ht="14.25" customHeight="1" x14ac:dyDescent="0.2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SUMIFS(Лист2!$C:$C,Лист2!$A:$A,A273,Лист2!$B:$B,B273)</f>
        <v>19</v>
      </c>
      <c r="F273" s="7">
        <f>SUMIFS(Лист2!$D:$D,Лист2!$A:$A,A273,Лист2!$B:$B,B273)</f>
        <v>1831</v>
      </c>
      <c r="G273" s="7">
        <f>SUMIFS(Лист2!$E:$E,Лист2!$A:$A,A273,Лист2!$B:$B,B273)</f>
        <v>1667</v>
      </c>
      <c r="H273">
        <f t="shared" si="8"/>
        <v>128764.73684210527</v>
      </c>
      <c r="I273" s="15">
        <f t="shared" si="9"/>
        <v>21</v>
      </c>
    </row>
    <row r="274" spans="1:9" ht="14.25" customHeight="1" x14ac:dyDescent="0.2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SUMIFS(Лист2!$C:$C,Лист2!$A:$A,A274,Лист2!$B:$B,B274)</f>
        <v>19</v>
      </c>
      <c r="F274" s="7">
        <f>SUMIFS(Лист2!$D:$D,Лист2!$A:$A,A274,Лист2!$B:$B,B274)</f>
        <v>1790</v>
      </c>
      <c r="G274" s="7">
        <f>SUMIFS(Лист2!$E:$E,Лист2!$A:$A,A274,Лист2!$B:$B,B274)</f>
        <v>1633</v>
      </c>
      <c r="H274">
        <f t="shared" si="8"/>
        <v>128191.18421052632</v>
      </c>
      <c r="I274" s="15">
        <f t="shared" si="9"/>
        <v>20</v>
      </c>
    </row>
    <row r="275" spans="1:9" ht="14.25" customHeight="1" x14ac:dyDescent="0.2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SUMIFS(Лист2!$C:$C,Лист2!$A:$A,A275,Лист2!$B:$B,B275)</f>
        <v>19</v>
      </c>
      <c r="F275" s="7">
        <f>SUMIFS(Лист2!$D:$D,Лист2!$A:$A,A275,Лист2!$B:$B,B275)</f>
        <v>1542</v>
      </c>
      <c r="G275" s="7">
        <f>SUMIFS(Лист2!$E:$E,Лист2!$A:$A,A275,Лист2!$B:$B,B275)</f>
        <v>1412</v>
      </c>
      <c r="H275">
        <f t="shared" si="8"/>
        <v>125523</v>
      </c>
      <c r="I275" s="15">
        <f t="shared" si="9"/>
        <v>19</v>
      </c>
    </row>
    <row r="276" spans="1:9" ht="14.25" customHeight="1" x14ac:dyDescent="0.2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SUMIFS(Лист2!$C:$C,Лист2!$A:$A,A276,Лист2!$B:$B,B276)</f>
        <v>19</v>
      </c>
      <c r="F276" s="7">
        <f>SUMIFS(Лист2!$D:$D,Лист2!$A:$A,A276,Лист2!$B:$B,B276)</f>
        <v>1479</v>
      </c>
      <c r="G276" s="7">
        <f>SUMIFS(Лист2!$E:$E,Лист2!$A:$A,A276,Лист2!$B:$B,B276)</f>
        <v>1346</v>
      </c>
      <c r="H276">
        <f t="shared" si="8"/>
        <v>113456.21052631579</v>
      </c>
      <c r="I276" s="15">
        <f t="shared" si="9"/>
        <v>19</v>
      </c>
    </row>
    <row r="277" spans="1:9" ht="14.25" customHeight="1" x14ac:dyDescent="0.2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SUMIFS(Лист2!$C:$C,Лист2!$A:$A,A277,Лист2!$B:$B,B277)</f>
        <v>19</v>
      </c>
      <c r="F277" s="7">
        <f>SUMIFS(Лист2!$D:$D,Лист2!$A:$A,A277,Лист2!$B:$B,B277)</f>
        <v>1206</v>
      </c>
      <c r="G277" s="7">
        <f>SUMIFS(Лист2!$E:$E,Лист2!$A:$A,A277,Лист2!$B:$B,B277)</f>
        <v>1080</v>
      </c>
      <c r="H277">
        <f t="shared" si="8"/>
        <v>88571.131578947374</v>
      </c>
      <c r="I277" s="15">
        <f t="shared" si="9"/>
        <v>18</v>
      </c>
    </row>
    <row r="278" spans="1:9" ht="14.25" customHeight="1" x14ac:dyDescent="0.2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SUMIFS(Лист2!$C:$C,Лист2!$A:$A,A278,Лист2!$B:$B,B278)</f>
        <v>20</v>
      </c>
      <c r="F278" s="7">
        <f>SUMIFS(Лист2!$D:$D,Лист2!$A:$A,A278,Лист2!$B:$B,B278)</f>
        <v>1814</v>
      </c>
      <c r="G278" s="7">
        <f>SUMIFS(Лист2!$E:$E,Лист2!$A:$A,A278,Лист2!$B:$B,B278)</f>
        <v>1655</v>
      </c>
      <c r="H278">
        <f t="shared" si="8"/>
        <v>120540.15</v>
      </c>
      <c r="I278" s="15">
        <f t="shared" si="9"/>
        <v>22</v>
      </c>
    </row>
    <row r="279" spans="1:9" ht="14.25" customHeight="1" x14ac:dyDescent="0.2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SUMIFS(Лист2!$C:$C,Лист2!$A:$A,A279,Лист2!$B:$B,B279)</f>
        <v>19</v>
      </c>
      <c r="F279" s="7">
        <f>SUMIFS(Лист2!$D:$D,Лист2!$A:$A,A279,Лист2!$B:$B,B279)</f>
        <v>1987</v>
      </c>
      <c r="G279" s="7">
        <f>SUMIFS(Лист2!$E:$E,Лист2!$A:$A,A279,Лист2!$B:$B,B279)</f>
        <v>1791</v>
      </c>
      <c r="H279">
        <f t="shared" si="8"/>
        <v>166763.68421052632</v>
      </c>
      <c r="I279" s="15">
        <f t="shared" si="9"/>
        <v>18</v>
      </c>
    </row>
    <row r="280" spans="1:9" ht="14.25" customHeight="1" x14ac:dyDescent="0.2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SUMIFS(Лист2!$C:$C,Лист2!$A:$A,A280,Лист2!$B:$B,B280)</f>
        <v>19</v>
      </c>
      <c r="F280" s="7">
        <f>SUMIFS(Лист2!$D:$D,Лист2!$A:$A,A280,Лист2!$B:$B,B280)</f>
        <v>1598</v>
      </c>
      <c r="G280" s="7">
        <f>SUMIFS(Лист2!$E:$E,Лист2!$A:$A,A280,Лист2!$B:$B,B280)</f>
        <v>1454</v>
      </c>
      <c r="H280">
        <f t="shared" si="8"/>
        <v>118061.05263157895</v>
      </c>
      <c r="I280" s="15">
        <f t="shared" si="9"/>
        <v>20</v>
      </c>
    </row>
    <row r="281" spans="1:9" ht="14.25" customHeight="1" x14ac:dyDescent="0.2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SUMIFS(Лист2!$C:$C,Лист2!$A:$A,A281,Лист2!$B:$B,B281)</f>
        <v>19</v>
      </c>
      <c r="F281" s="7">
        <f>SUMIFS(Лист2!$D:$D,Лист2!$A:$A,A281,Лист2!$B:$B,B281)</f>
        <v>1650</v>
      </c>
      <c r="G281" s="7">
        <f>SUMIFS(Лист2!$E:$E,Лист2!$A:$A,A281,Лист2!$B:$B,B281)</f>
        <v>1505</v>
      </c>
      <c r="H281">
        <f t="shared" si="8"/>
        <v>115733.44736842105</v>
      </c>
      <c r="I281" s="15">
        <f t="shared" si="9"/>
        <v>21</v>
      </c>
    </row>
    <row r="282" spans="1:9" ht="14.25" customHeight="1" x14ac:dyDescent="0.2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SUMIFS(Лист2!$C:$C,Лист2!$A:$A,A282,Лист2!$B:$B,B282)</f>
        <v>19</v>
      </c>
      <c r="F282" s="7">
        <f>SUMIFS(Лист2!$D:$D,Лист2!$A:$A,A282,Лист2!$B:$B,B282)</f>
        <v>1823</v>
      </c>
      <c r="G282" s="7">
        <f>SUMIFS(Лист2!$E:$E,Лист2!$A:$A,A282,Лист2!$B:$B,B282)</f>
        <v>1678</v>
      </c>
      <c r="H282">
        <f t="shared" si="8"/>
        <v>132671.52631578947</v>
      </c>
      <c r="I282" s="15">
        <f t="shared" si="9"/>
        <v>21</v>
      </c>
    </row>
    <row r="283" spans="1:9" ht="14.25" customHeight="1" x14ac:dyDescent="0.2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SUMIFS(Лист2!$C:$C,Лист2!$A:$A,A283,Лист2!$B:$B,B283)</f>
        <v>19</v>
      </c>
      <c r="F283" s="7">
        <f>SUMIFS(Лист2!$D:$D,Лист2!$A:$A,A283,Лист2!$B:$B,B283)</f>
        <v>1622</v>
      </c>
      <c r="G283" s="7">
        <f>SUMIFS(Лист2!$E:$E,Лист2!$A:$A,A283,Лист2!$B:$B,B283)</f>
        <v>1482</v>
      </c>
      <c r="H283">
        <f t="shared" si="8"/>
        <v>125280.71052631579</v>
      </c>
      <c r="I283" s="15">
        <f t="shared" si="9"/>
        <v>19</v>
      </c>
    </row>
    <row r="284" spans="1:9" ht="14.25" customHeight="1" x14ac:dyDescent="0.2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SUMIFS(Лист2!$C:$C,Лист2!$A:$A,A284,Лист2!$B:$B,B284)</f>
        <v>19</v>
      </c>
      <c r="F284" s="7">
        <f>SUMIFS(Лист2!$D:$D,Лист2!$A:$A,A284,Лист2!$B:$B,B284)</f>
        <v>1605</v>
      </c>
      <c r="G284" s="7">
        <f>SUMIFS(Лист2!$E:$E,Лист2!$A:$A,A284,Лист2!$B:$B,B284)</f>
        <v>1447</v>
      </c>
      <c r="H284">
        <f t="shared" si="8"/>
        <v>119139.55263157895</v>
      </c>
      <c r="I284" s="15">
        <f t="shared" si="9"/>
        <v>20</v>
      </c>
    </row>
    <row r="285" spans="1:9" ht="14.25" customHeight="1" x14ac:dyDescent="0.2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SUMIFS(Лист2!$C:$C,Лист2!$A:$A,A285,Лист2!$B:$B,B285)</f>
        <v>16</v>
      </c>
      <c r="F285" s="7">
        <f>SUMIFS(Лист2!$D:$D,Лист2!$A:$A,A285,Лист2!$B:$B,B285)</f>
        <v>917</v>
      </c>
      <c r="G285" s="7">
        <f>SUMIFS(Лист2!$E:$E,Лист2!$A:$A,A285,Лист2!$B:$B,B285)</f>
        <v>802</v>
      </c>
      <c r="H285">
        <f t="shared" si="8"/>
        <v>83549.34375</v>
      </c>
      <c r="I285" s="15">
        <f t="shared" si="9"/>
        <v>22</v>
      </c>
    </row>
    <row r="286" spans="1:9" ht="14.25" customHeight="1" x14ac:dyDescent="0.2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SUMIFS(Лист2!$C:$C,Лист2!$A:$A,A286,Лист2!$B:$B,B286)</f>
        <v>19</v>
      </c>
      <c r="F286" s="7">
        <f>SUMIFS(Лист2!$D:$D,Лист2!$A:$A,A286,Лист2!$B:$B,B286)</f>
        <v>1314</v>
      </c>
      <c r="G286" s="7">
        <f>SUMIFS(Лист2!$E:$E,Лист2!$A:$A,A286,Лист2!$B:$B,B286)</f>
        <v>1192</v>
      </c>
      <c r="H286">
        <f t="shared" si="8"/>
        <v>100345.10526315789</v>
      </c>
      <c r="I286" s="15">
        <f t="shared" si="9"/>
        <v>18</v>
      </c>
    </row>
    <row r="287" spans="1:9" ht="14.25" customHeight="1" x14ac:dyDescent="0.2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SUMIFS(Лист2!$C:$C,Лист2!$A:$A,A287,Лист2!$B:$B,B287)</f>
        <v>16</v>
      </c>
      <c r="F287" s="7">
        <f>SUMIFS(Лист2!$D:$D,Лист2!$A:$A,A287,Лист2!$B:$B,B287)</f>
        <v>1048</v>
      </c>
      <c r="G287" s="7">
        <f>SUMIFS(Лист2!$E:$E,Лист2!$A:$A,A287,Лист2!$B:$B,B287)</f>
        <v>918</v>
      </c>
      <c r="H287">
        <f t="shared" si="8"/>
        <v>100568.15625</v>
      </c>
      <c r="I287" s="15">
        <f t="shared" si="9"/>
        <v>22</v>
      </c>
    </row>
    <row r="288" spans="1:9" ht="14.25" customHeight="1" x14ac:dyDescent="0.2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SUMIFS(Лист2!$C:$C,Лист2!$A:$A,A288,Лист2!$B:$B,B288)</f>
        <v>19</v>
      </c>
      <c r="F288" s="7">
        <f>SUMIFS(Лист2!$D:$D,Лист2!$A:$A,A288,Лист2!$B:$B,B288)</f>
        <v>1509</v>
      </c>
      <c r="G288" s="7">
        <f>SUMIFS(Лист2!$E:$E,Лист2!$A:$A,A288,Лист2!$B:$B,B288)</f>
        <v>1374</v>
      </c>
      <c r="H288">
        <f t="shared" si="8"/>
        <v>113650.02631578948</v>
      </c>
      <c r="I288" s="15">
        <f t="shared" si="9"/>
        <v>19</v>
      </c>
    </row>
    <row r="289" spans="1:9" ht="14.25" customHeight="1" x14ac:dyDescent="0.2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SUMIFS(Лист2!$C:$C,Лист2!$A:$A,A289,Лист2!$B:$B,B289)</f>
        <v>19</v>
      </c>
      <c r="F289" s="7">
        <f>SUMIFS(Лист2!$D:$D,Лист2!$A:$A,A289,Лист2!$B:$B,B289)</f>
        <v>2195</v>
      </c>
      <c r="G289" s="7">
        <f>SUMIFS(Лист2!$E:$E,Лист2!$A:$A,A289,Лист2!$B:$B,B289)</f>
        <v>1999</v>
      </c>
      <c r="H289">
        <f t="shared" si="8"/>
        <v>162586.34210526315</v>
      </c>
      <c r="I289" s="15">
        <f t="shared" si="9"/>
        <v>21</v>
      </c>
    </row>
    <row r="290" spans="1:9" ht="14.25" customHeight="1" x14ac:dyDescent="0.2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SUMIFS(Лист2!$C:$C,Лист2!$A:$A,A290,Лист2!$B:$B,B290)</f>
        <v>16</v>
      </c>
      <c r="F290" s="7">
        <f>SUMIFS(Лист2!$D:$D,Лист2!$A:$A,A290,Лист2!$B:$B,B290)</f>
        <v>876</v>
      </c>
      <c r="G290" s="7">
        <f>SUMIFS(Лист2!$E:$E,Лист2!$A:$A,A290,Лист2!$B:$B,B290)</f>
        <v>762</v>
      </c>
      <c r="H290">
        <f t="shared" si="8"/>
        <v>77484.1875</v>
      </c>
      <c r="I290" s="15">
        <f t="shared" si="9"/>
        <v>22</v>
      </c>
    </row>
    <row r="291" spans="1:9" ht="14.25" customHeight="1" x14ac:dyDescent="0.2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SUMIFS(Лист2!$C:$C,Лист2!$A:$A,A291,Лист2!$B:$B,B291)</f>
        <v>20</v>
      </c>
      <c r="F291" s="7">
        <f>SUMIFS(Лист2!$D:$D,Лист2!$A:$A,A291,Лист2!$B:$B,B291)</f>
        <v>1899</v>
      </c>
      <c r="G291" s="7">
        <f>SUMIFS(Лист2!$E:$E,Лист2!$A:$A,A291,Лист2!$B:$B,B291)</f>
        <v>1738</v>
      </c>
      <c r="H291">
        <f t="shared" si="8"/>
        <v>125640.15</v>
      </c>
      <c r="I291" s="15">
        <f t="shared" si="9"/>
        <v>22</v>
      </c>
    </row>
    <row r="292" spans="1:9" ht="14.25" customHeight="1" x14ac:dyDescent="0.2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SUMIFS(Лист2!$C:$C,Лист2!$A:$A,A292,Лист2!$B:$B,B292)</f>
        <v>19</v>
      </c>
      <c r="F292" s="7">
        <f>SUMIFS(Лист2!$D:$D,Лист2!$A:$A,A292,Лист2!$B:$B,B292)</f>
        <v>1662</v>
      </c>
      <c r="G292" s="7">
        <f>SUMIFS(Лист2!$E:$E,Лист2!$A:$A,A292,Лист2!$B:$B,B292)</f>
        <v>1506</v>
      </c>
      <c r="H292">
        <f t="shared" si="8"/>
        <v>134741.05263157896</v>
      </c>
      <c r="I292" s="15">
        <f t="shared" si="9"/>
        <v>18</v>
      </c>
    </row>
    <row r="293" spans="1:9" ht="14.25" customHeight="1" x14ac:dyDescent="0.2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SUMIFS(Лист2!$C:$C,Лист2!$A:$A,A293,Лист2!$B:$B,B293)</f>
        <v>19</v>
      </c>
      <c r="F293" s="7">
        <f>SUMIFS(Лист2!$D:$D,Лист2!$A:$A,A293,Лист2!$B:$B,B293)</f>
        <v>1836</v>
      </c>
      <c r="G293" s="7">
        <f>SUMIFS(Лист2!$E:$E,Лист2!$A:$A,A293,Лист2!$B:$B,B293)</f>
        <v>1680</v>
      </c>
      <c r="H293">
        <f t="shared" si="8"/>
        <v>145645.81578947368</v>
      </c>
      <c r="I293" s="15">
        <f t="shared" si="9"/>
        <v>19</v>
      </c>
    </row>
    <row r="294" spans="1:9" ht="14.25" customHeight="1" x14ac:dyDescent="0.2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SUMIFS(Лист2!$C:$C,Лист2!$A:$A,A294,Лист2!$B:$B,B294)</f>
        <v>19</v>
      </c>
      <c r="F294" s="7">
        <f>SUMIFS(Лист2!$D:$D,Лист2!$A:$A,A294,Лист2!$B:$B,B294)</f>
        <v>1520</v>
      </c>
      <c r="G294" s="7">
        <f>SUMIFS(Лист2!$E:$E,Лист2!$A:$A,A294,Лист2!$B:$B,B294)</f>
        <v>1380</v>
      </c>
      <c r="H294">
        <f t="shared" si="8"/>
        <v>117682.10526315789</v>
      </c>
      <c r="I294" s="15">
        <f t="shared" si="9"/>
        <v>19</v>
      </c>
    </row>
    <row r="295" spans="1:9" ht="14.25" customHeight="1" x14ac:dyDescent="0.2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SUMIFS(Лист2!$C:$C,Лист2!$A:$A,A295,Лист2!$B:$B,B295)</f>
        <v>19</v>
      </c>
      <c r="F295" s="7">
        <f>SUMIFS(Лист2!$D:$D,Лист2!$A:$A,A295,Лист2!$B:$B,B295)</f>
        <v>1580</v>
      </c>
      <c r="G295" s="7">
        <f>SUMIFS(Лист2!$E:$E,Лист2!$A:$A,A295,Лист2!$B:$B,B295)</f>
        <v>1435</v>
      </c>
      <c r="H295">
        <f t="shared" si="8"/>
        <v>121491.39473684211</v>
      </c>
      <c r="I295" s="15">
        <f t="shared" si="9"/>
        <v>19</v>
      </c>
    </row>
    <row r="296" spans="1:9" ht="14.25" customHeight="1" x14ac:dyDescent="0.2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SUMIFS(Лист2!$C:$C,Лист2!$A:$A,A296,Лист2!$B:$B,B296)</f>
        <v>19</v>
      </c>
      <c r="F296" s="7">
        <f>SUMIFS(Лист2!$D:$D,Лист2!$A:$A,A296,Лист2!$B:$B,B296)</f>
        <v>1868</v>
      </c>
      <c r="G296" s="7">
        <f>SUMIFS(Лист2!$E:$E,Лист2!$A:$A,A296,Лист2!$B:$B,B296)</f>
        <v>1706</v>
      </c>
      <c r="H296">
        <f t="shared" si="8"/>
        <v>132995.21052631579</v>
      </c>
      <c r="I296" s="15">
        <f t="shared" si="9"/>
        <v>21</v>
      </c>
    </row>
    <row r="297" spans="1:9" ht="14.25" customHeight="1" x14ac:dyDescent="0.2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SUMIFS(Лист2!$C:$C,Лист2!$A:$A,A297,Лист2!$B:$B,B297)</f>
        <v>59</v>
      </c>
      <c r="F297" s="7">
        <f>SUMIFS(Лист2!$D:$D,Лист2!$A:$A,A297,Лист2!$B:$B,B297)</f>
        <v>13186</v>
      </c>
      <c r="G297" s="7">
        <f>SUMIFS(Лист2!$E:$E,Лист2!$A:$A,A297,Лист2!$B:$B,B297)</f>
        <v>12251</v>
      </c>
      <c r="H297">
        <f t="shared" si="8"/>
        <v>366361.57627118647</v>
      </c>
      <c r="I297" s="15">
        <f t="shared" si="9"/>
        <v>18</v>
      </c>
    </row>
    <row r="298" spans="1:9" ht="14.25" customHeight="1" x14ac:dyDescent="0.2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SUMIFS(Лист2!$C:$C,Лист2!$A:$A,A298,Лист2!$B:$B,B298)</f>
        <v>59</v>
      </c>
      <c r="F298" s="7">
        <f>SUMIFS(Лист2!$D:$D,Лист2!$A:$A,A298,Лист2!$B:$B,B298)</f>
        <v>12943</v>
      </c>
      <c r="G298" s="7">
        <f>SUMIFS(Лист2!$E:$E,Лист2!$A:$A,A298,Лист2!$B:$B,B298)</f>
        <v>12072</v>
      </c>
      <c r="H298">
        <f t="shared" si="8"/>
        <v>357879.63559322036</v>
      </c>
      <c r="I298" s="15">
        <f t="shared" si="9"/>
        <v>18</v>
      </c>
    </row>
    <row r="299" spans="1:9" ht="14.25" customHeight="1" x14ac:dyDescent="0.2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SUMIFS(Лист2!$C:$C,Лист2!$A:$A,A299,Лист2!$B:$B,B299)</f>
        <v>21</v>
      </c>
      <c r="F299" s="7">
        <f>SUMIFS(Лист2!$D:$D,Лист2!$A:$A,A299,Лист2!$B:$B,B299)</f>
        <v>2056</v>
      </c>
      <c r="G299" s="7">
        <f>SUMIFS(Лист2!$E:$E,Лист2!$A:$A,A299,Лист2!$B:$B,B299)</f>
        <v>1879</v>
      </c>
      <c r="H299">
        <f t="shared" si="8"/>
        <v>133063.07142857142</v>
      </c>
      <c r="I299" s="15">
        <f t="shared" si="9"/>
        <v>22</v>
      </c>
    </row>
    <row r="300" spans="1:9" ht="14.25" customHeight="1" x14ac:dyDescent="0.2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SUMIFS(Лист2!$C:$C,Лист2!$A:$A,A300,Лист2!$B:$B,B300)</f>
        <v>20</v>
      </c>
      <c r="F300" s="7">
        <f>SUMIFS(Лист2!$D:$D,Лист2!$A:$A,A300,Лист2!$B:$B,B300)</f>
        <v>2174</v>
      </c>
      <c r="G300" s="7">
        <f>SUMIFS(Лист2!$E:$E,Лист2!$A:$A,A300,Лист2!$B:$B,B300)</f>
        <v>1957</v>
      </c>
      <c r="H300">
        <f t="shared" si="8"/>
        <v>150266.70000000001</v>
      </c>
      <c r="I300" s="15">
        <f t="shared" si="9"/>
        <v>22</v>
      </c>
    </row>
    <row r="301" spans="1:9" ht="14.25" customHeight="1" x14ac:dyDescent="0.2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SUMIFS(Лист2!$C:$C,Лист2!$A:$A,A301,Лист2!$B:$B,B301)</f>
        <v>20</v>
      </c>
      <c r="F301" s="7">
        <f>SUMIFS(Лист2!$D:$D,Лист2!$A:$A,A301,Лист2!$B:$B,B301)</f>
        <v>1875</v>
      </c>
      <c r="G301" s="7">
        <f>SUMIFS(Лист2!$E:$E,Лист2!$A:$A,A301,Лист2!$B:$B,B301)</f>
        <v>1701</v>
      </c>
      <c r="H301">
        <f t="shared" si="8"/>
        <v>127960.575</v>
      </c>
      <c r="I301" s="15">
        <f t="shared" si="9"/>
        <v>22</v>
      </c>
    </row>
    <row r="302" spans="1:9" ht="14.25" customHeight="1" x14ac:dyDescent="0.2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SUMIFS(Лист2!$C:$C,Лист2!$A:$A,A302,Лист2!$B:$B,B302)</f>
        <v>60</v>
      </c>
      <c r="F302" s="7">
        <f>SUMIFS(Лист2!$D:$D,Лист2!$A:$A,A302,Лист2!$B:$B,B302)</f>
        <v>14049</v>
      </c>
      <c r="G302" s="7">
        <f>SUMIFS(Лист2!$E:$E,Лист2!$A:$A,A302,Лист2!$B:$B,B302)</f>
        <v>13118</v>
      </c>
      <c r="H302">
        <f t="shared" si="8"/>
        <v>394823.05</v>
      </c>
      <c r="I302" s="15">
        <f t="shared" si="9"/>
        <v>20</v>
      </c>
    </row>
    <row r="303" spans="1:9" ht="14.25" customHeight="1" x14ac:dyDescent="0.2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SUMIFS(Лист2!$C:$C,Лист2!$A:$A,A303,Лист2!$B:$B,B303)</f>
        <v>60</v>
      </c>
      <c r="F303" s="7">
        <f>SUMIFS(Лист2!$D:$D,Лист2!$A:$A,A303,Лист2!$B:$B,B303)</f>
        <v>13867</v>
      </c>
      <c r="G303" s="7">
        <f>SUMIFS(Лист2!$E:$E,Лист2!$A:$A,A303,Лист2!$B:$B,B303)</f>
        <v>12987</v>
      </c>
      <c r="H303">
        <f t="shared" si="8"/>
        <v>365764.3</v>
      </c>
      <c r="I303" s="15">
        <f t="shared" si="9"/>
        <v>21</v>
      </c>
    </row>
    <row r="304" spans="1:9" ht="14.25" customHeight="1" x14ac:dyDescent="0.2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SUMIFS(Лист2!$C:$C,Лист2!$A:$A,A304,Лист2!$B:$B,B304)</f>
        <v>60</v>
      </c>
      <c r="F304" s="7">
        <f>SUMIFS(Лист2!$D:$D,Лист2!$A:$A,A304,Лист2!$B:$B,B304)</f>
        <v>11698</v>
      </c>
      <c r="G304" s="7">
        <f>SUMIFS(Лист2!$E:$E,Лист2!$A:$A,A304,Лист2!$B:$B,B304)</f>
        <v>10989</v>
      </c>
      <c r="H304">
        <f t="shared" si="8"/>
        <v>325773.09999999998</v>
      </c>
      <c r="I304" s="15">
        <f t="shared" si="9"/>
        <v>20</v>
      </c>
    </row>
    <row r="305" spans="1:9" ht="14.25" customHeight="1" x14ac:dyDescent="0.2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SUMIFS(Лист2!$C:$C,Лист2!$A:$A,A305,Лист2!$B:$B,B305)</f>
        <v>59</v>
      </c>
      <c r="F305" s="7">
        <f>SUMIFS(Лист2!$D:$D,Лист2!$A:$A,A305,Лист2!$B:$B,B305)</f>
        <v>12016</v>
      </c>
      <c r="G305" s="7">
        <f>SUMIFS(Лист2!$E:$E,Лист2!$A:$A,A305,Лист2!$B:$B,B305)</f>
        <v>11137</v>
      </c>
      <c r="H305">
        <f t="shared" si="8"/>
        <v>325739.51694915252</v>
      </c>
      <c r="I305" s="15">
        <f t="shared" si="9"/>
        <v>19</v>
      </c>
    </row>
    <row r="306" spans="1:9" ht="14.25" customHeight="1" x14ac:dyDescent="0.2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SUMIFS(Лист2!$C:$C,Лист2!$A:$A,A306,Лист2!$B:$B,B306)</f>
        <v>59</v>
      </c>
      <c r="F306" s="7">
        <f>SUMIFS(Лист2!$D:$D,Лист2!$A:$A,A306,Лист2!$B:$B,B306)</f>
        <v>14423</v>
      </c>
      <c r="G306" s="7">
        <f>SUMIFS(Лист2!$E:$E,Лист2!$A:$A,A306,Лист2!$B:$B,B306)</f>
        <v>13432</v>
      </c>
      <c r="H306">
        <f t="shared" si="8"/>
        <v>411732.50847457629</v>
      </c>
      <c r="I306" s="15">
        <f t="shared" si="9"/>
        <v>19</v>
      </c>
    </row>
    <row r="307" spans="1:9" ht="14.25" customHeight="1" x14ac:dyDescent="0.2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SUMIFS(Лист2!$C:$C,Лист2!$A:$A,A307,Лист2!$B:$B,B307)</f>
        <v>54</v>
      </c>
      <c r="F307" s="7">
        <f>SUMIFS(Лист2!$D:$D,Лист2!$A:$A,A307,Лист2!$B:$B,B307)</f>
        <v>12747</v>
      </c>
      <c r="G307" s="7">
        <f>SUMIFS(Лист2!$E:$E,Лист2!$A:$A,A307,Лист2!$B:$B,B307)</f>
        <v>11884</v>
      </c>
      <c r="H307">
        <f t="shared" si="8"/>
        <v>386507.25</v>
      </c>
      <c r="I307" s="15">
        <f t="shared" si="9"/>
        <v>18</v>
      </c>
    </row>
    <row r="308" spans="1:9" ht="14.25" customHeight="1" x14ac:dyDescent="0.2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SUMIFS(Лист2!$C:$C,Лист2!$A:$A,A308,Лист2!$B:$B,B308)</f>
        <v>59</v>
      </c>
      <c r="F308" s="7">
        <f>SUMIFS(Лист2!$D:$D,Лист2!$A:$A,A308,Лист2!$B:$B,B308)</f>
        <v>12429</v>
      </c>
      <c r="G308" s="7">
        <f>SUMIFS(Лист2!$E:$E,Лист2!$A:$A,A308,Лист2!$B:$B,B308)</f>
        <v>11477</v>
      </c>
      <c r="H308">
        <f t="shared" si="8"/>
        <v>332633.28813559323</v>
      </c>
      <c r="I308" s="15">
        <f t="shared" si="9"/>
        <v>18</v>
      </c>
    </row>
    <row r="309" spans="1:9" ht="14.25" customHeight="1" x14ac:dyDescent="0.2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SUMIFS(Лист2!$C:$C,Лист2!$A:$A,A309,Лист2!$B:$B,B309)</f>
        <v>59</v>
      </c>
      <c r="F309" s="7">
        <f>SUMIFS(Лист2!$D:$D,Лист2!$A:$A,A309,Лист2!$B:$B,B309)</f>
        <v>15369</v>
      </c>
      <c r="G309" s="7">
        <f>SUMIFS(Лист2!$E:$E,Лист2!$A:$A,A309,Лист2!$B:$B,B309)</f>
        <v>14299</v>
      </c>
      <c r="H309">
        <f t="shared" si="8"/>
        <v>426498.83898305084</v>
      </c>
      <c r="I309" s="15">
        <f t="shared" si="9"/>
        <v>22</v>
      </c>
    </row>
    <row r="310" spans="1:9" ht="14.25" customHeight="1" x14ac:dyDescent="0.2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SUMIFS(Лист2!$C:$C,Лист2!$A:$A,A310,Лист2!$B:$B,B310)</f>
        <v>59</v>
      </c>
      <c r="F310" s="7">
        <f>SUMIFS(Лист2!$D:$D,Лист2!$A:$A,A310,Лист2!$B:$B,B310)</f>
        <v>15222</v>
      </c>
      <c r="G310" s="7">
        <f>SUMIFS(Лист2!$E:$E,Лист2!$A:$A,A310,Лист2!$B:$B,B310)</f>
        <v>13873</v>
      </c>
      <c r="H310">
        <f t="shared" si="8"/>
        <v>430734.76271186443</v>
      </c>
      <c r="I310" s="15">
        <f t="shared" si="9"/>
        <v>18</v>
      </c>
    </row>
    <row r="311" spans="1:9" ht="14.25" customHeight="1" x14ac:dyDescent="0.2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SUMIFS(Лист2!$C:$C,Лист2!$A:$A,A311,Лист2!$B:$B,B311)</f>
        <v>60</v>
      </c>
      <c r="F311" s="7">
        <f>SUMIFS(Лист2!$D:$D,Лист2!$A:$A,A311,Лист2!$B:$B,B311)</f>
        <v>12000</v>
      </c>
      <c r="G311" s="7">
        <f>SUMIFS(Лист2!$E:$E,Лист2!$A:$A,A311,Лист2!$B:$B,B311)</f>
        <v>11194</v>
      </c>
      <c r="H311">
        <f t="shared" si="8"/>
        <v>320086.32500000001</v>
      </c>
      <c r="I311" s="15">
        <f t="shared" si="9"/>
        <v>20</v>
      </c>
    </row>
    <row r="312" spans="1:9" ht="14.25" customHeight="1" x14ac:dyDescent="0.2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SUMIFS(Лист2!$C:$C,Лист2!$A:$A,A312,Лист2!$B:$B,B312)</f>
        <v>60</v>
      </c>
      <c r="F312" s="7">
        <f>SUMIFS(Лист2!$D:$D,Лист2!$A:$A,A312,Лист2!$B:$B,B312)</f>
        <v>14005</v>
      </c>
      <c r="G312" s="7">
        <f>SUMIFS(Лист2!$E:$E,Лист2!$A:$A,A312,Лист2!$B:$B,B312)</f>
        <v>13002</v>
      </c>
      <c r="H312">
        <f t="shared" si="8"/>
        <v>370888.25</v>
      </c>
      <c r="I312" s="15">
        <f t="shared" si="9"/>
        <v>21</v>
      </c>
    </row>
    <row r="313" spans="1:9" ht="14.25" customHeight="1" x14ac:dyDescent="0.2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SUMIFS(Лист2!$C:$C,Лист2!$A:$A,A313,Лист2!$B:$B,B313)</f>
        <v>60</v>
      </c>
      <c r="F313" s="7">
        <f>SUMIFS(Лист2!$D:$D,Лист2!$A:$A,A313,Лист2!$B:$B,B313)</f>
        <v>13792</v>
      </c>
      <c r="G313" s="7">
        <f>SUMIFS(Лист2!$E:$E,Лист2!$A:$A,A313,Лист2!$B:$B,B313)</f>
        <v>12834</v>
      </c>
      <c r="H313">
        <f t="shared" si="8"/>
        <v>365988.1</v>
      </c>
      <c r="I313" s="15">
        <f t="shared" si="9"/>
        <v>21</v>
      </c>
    </row>
    <row r="314" spans="1:9" ht="14.25" customHeight="1" x14ac:dyDescent="0.2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SUMIFS(Лист2!$C:$C,Лист2!$A:$A,A314,Лист2!$B:$B,B314)</f>
        <v>59</v>
      </c>
      <c r="F314" s="7">
        <f>SUMIFS(Лист2!$D:$D,Лист2!$A:$A,A314,Лист2!$B:$B,B314)</f>
        <v>13469</v>
      </c>
      <c r="G314" s="7">
        <f>SUMIFS(Лист2!$E:$E,Лист2!$A:$A,A314,Лист2!$B:$B,B314)</f>
        <v>12486</v>
      </c>
      <c r="H314">
        <f t="shared" si="8"/>
        <v>371515.85593220341</v>
      </c>
      <c r="I314" s="15">
        <f t="shared" si="9"/>
        <v>19</v>
      </c>
    </row>
    <row r="315" spans="1:9" ht="14.25" customHeight="1" x14ac:dyDescent="0.2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SUMIFS(Лист2!$C:$C,Лист2!$A:$A,A315,Лист2!$B:$B,B315)</f>
        <v>54</v>
      </c>
      <c r="F315" s="7">
        <f>SUMIFS(Лист2!$D:$D,Лист2!$A:$A,A315,Лист2!$B:$B,B315)</f>
        <v>12306</v>
      </c>
      <c r="G315" s="7">
        <f>SUMIFS(Лист2!$E:$E,Лист2!$A:$A,A315,Лист2!$B:$B,B315)</f>
        <v>11532</v>
      </c>
      <c r="H315">
        <f t="shared" si="8"/>
        <v>370430.80555555556</v>
      </c>
      <c r="I315" s="15">
        <f t="shared" si="9"/>
        <v>18</v>
      </c>
    </row>
    <row r="316" spans="1:9" ht="14.25" customHeight="1" x14ac:dyDescent="0.2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SUMIFS(Лист2!$C:$C,Лист2!$A:$A,A316,Лист2!$B:$B,B316)</f>
        <v>60</v>
      </c>
      <c r="F316" s="7">
        <f>SUMIFS(Лист2!$D:$D,Лист2!$A:$A,A316,Лист2!$B:$B,B316)</f>
        <v>12007</v>
      </c>
      <c r="G316" s="7">
        <f>SUMIFS(Лист2!$E:$E,Лист2!$A:$A,A316,Лист2!$B:$B,B316)</f>
        <v>11245</v>
      </c>
      <c r="H316">
        <f t="shared" si="8"/>
        <v>323954.55</v>
      </c>
      <c r="I316" s="15">
        <f t="shared" si="9"/>
        <v>20</v>
      </c>
    </row>
    <row r="317" spans="1:9" ht="14.25" customHeight="1" x14ac:dyDescent="0.2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SUMIFS(Лист2!$C:$C,Лист2!$A:$A,A317,Лист2!$B:$B,B317)</f>
        <v>59</v>
      </c>
      <c r="F317" s="7">
        <f>SUMIFS(Лист2!$D:$D,Лист2!$A:$A,A317,Лист2!$B:$B,B317)</f>
        <v>15277</v>
      </c>
      <c r="G317" s="7">
        <f>SUMIFS(Лист2!$E:$E,Лист2!$A:$A,A317,Лист2!$B:$B,B317)</f>
        <v>14163</v>
      </c>
      <c r="H317">
        <f t="shared" si="8"/>
        <v>449021.66949152545</v>
      </c>
      <c r="I317" s="15">
        <f t="shared" si="9"/>
        <v>18</v>
      </c>
    </row>
    <row r="318" spans="1:9" ht="14.25" customHeight="1" x14ac:dyDescent="0.2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SUMIFS(Лист2!$C:$C,Лист2!$A:$A,A318,Лист2!$B:$B,B318)</f>
        <v>59</v>
      </c>
      <c r="F318" s="7">
        <f>SUMIFS(Лист2!$D:$D,Лист2!$A:$A,A318,Лист2!$B:$B,B318)</f>
        <v>14103</v>
      </c>
      <c r="G318" s="7">
        <f>SUMIFS(Лист2!$E:$E,Лист2!$A:$A,A318,Лист2!$B:$B,B318)</f>
        <v>13118</v>
      </c>
      <c r="H318">
        <f t="shared" si="8"/>
        <v>390389.69491525425</v>
      </c>
      <c r="I318" s="15">
        <f t="shared" si="9"/>
        <v>19</v>
      </c>
    </row>
    <row r="319" spans="1:9" ht="14.25" customHeight="1" x14ac:dyDescent="0.2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SUMIFS(Лист2!$C:$C,Лист2!$A:$A,A319,Лист2!$B:$B,B319)</f>
        <v>60</v>
      </c>
      <c r="F319" s="7">
        <f>SUMIFS(Лист2!$D:$D,Лист2!$A:$A,A319,Лист2!$B:$B,B319)</f>
        <v>17295</v>
      </c>
      <c r="G319" s="7">
        <f>SUMIFS(Лист2!$E:$E,Лист2!$A:$A,A319,Лист2!$B:$B,B319)</f>
        <v>16010</v>
      </c>
      <c r="H319">
        <f t="shared" si="8"/>
        <v>476515.17499999999</v>
      </c>
      <c r="I319" s="15">
        <f t="shared" si="9"/>
        <v>21</v>
      </c>
    </row>
    <row r="320" spans="1:9" ht="14.25" customHeight="1" x14ac:dyDescent="0.2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SUMIFS(Лист2!$C:$C,Лист2!$A:$A,A320,Лист2!$B:$B,B320)</f>
        <v>59</v>
      </c>
      <c r="F320" s="7">
        <f>SUMIFS(Лист2!$D:$D,Лист2!$A:$A,A320,Лист2!$B:$B,B320)</f>
        <v>12983</v>
      </c>
      <c r="G320" s="7">
        <f>SUMIFS(Лист2!$E:$E,Лист2!$A:$A,A320,Лист2!$B:$B,B320)</f>
        <v>12056</v>
      </c>
      <c r="H320">
        <f t="shared" si="8"/>
        <v>348860.05932203389</v>
      </c>
      <c r="I320" s="15">
        <f t="shared" si="9"/>
        <v>22</v>
      </c>
    </row>
    <row r="321" spans="1:9" ht="14.25" customHeight="1" x14ac:dyDescent="0.2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SUMIFS(Лист2!$C:$C,Лист2!$A:$A,A321,Лист2!$B:$B,B321)</f>
        <v>59</v>
      </c>
      <c r="F321" s="7">
        <f>SUMIFS(Лист2!$D:$D,Лист2!$A:$A,A321,Лист2!$B:$B,B321)</f>
        <v>13251</v>
      </c>
      <c r="G321" s="7">
        <f>SUMIFS(Лист2!$E:$E,Лист2!$A:$A,A321,Лист2!$B:$B,B321)</f>
        <v>12255</v>
      </c>
      <c r="H321">
        <f t="shared" si="8"/>
        <v>381864.40677966102</v>
      </c>
      <c r="I321" s="15">
        <f t="shared" si="9"/>
        <v>18</v>
      </c>
    </row>
    <row r="322" spans="1:9" ht="14.25" customHeight="1" x14ac:dyDescent="0.2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SUMIFS(Лист2!$C:$C,Лист2!$A:$A,A322,Лист2!$B:$B,B322)</f>
        <v>59</v>
      </c>
      <c r="F322" s="7">
        <f>SUMIFS(Лист2!$D:$D,Лист2!$A:$A,A322,Лист2!$B:$B,B322)</f>
        <v>14569</v>
      </c>
      <c r="G322" s="7">
        <f>SUMIFS(Лист2!$E:$E,Лист2!$A:$A,A322,Лист2!$B:$B,B322)</f>
        <v>13566</v>
      </c>
      <c r="H322">
        <f t="shared" si="8"/>
        <v>421871.26271186443</v>
      </c>
      <c r="I322" s="15">
        <f t="shared" si="9"/>
        <v>19</v>
      </c>
    </row>
    <row r="323" spans="1:9" ht="14.25" customHeight="1" x14ac:dyDescent="0.2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SUMIFS(Лист2!$C:$C,Лист2!$A:$A,A323,Лист2!$B:$B,B323)</f>
        <v>59</v>
      </c>
      <c r="F323" s="7">
        <f>SUMIFS(Лист2!$D:$D,Лист2!$A:$A,A323,Лист2!$B:$B,B323)</f>
        <v>14098</v>
      </c>
      <c r="G323" s="7">
        <f>SUMIFS(Лист2!$E:$E,Лист2!$A:$A,A323,Лист2!$B:$B,B323)</f>
        <v>13106</v>
      </c>
      <c r="H323">
        <f t="shared" ref="H323:H386" si="10">D323/E323</f>
        <v>404778.78813559323</v>
      </c>
      <c r="I323" s="15">
        <f t="shared" ref="I323:I386" si="11">WEEKNUM(A323,2)</f>
        <v>19</v>
      </c>
    </row>
    <row r="324" spans="1:9" ht="14.25" customHeight="1" x14ac:dyDescent="0.2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SUMIFS(Лист2!$C:$C,Лист2!$A:$A,A324,Лист2!$B:$B,B324)</f>
        <v>59</v>
      </c>
      <c r="F324" s="7">
        <f>SUMIFS(Лист2!$D:$D,Лист2!$A:$A,A324,Лист2!$B:$B,B324)</f>
        <v>13495</v>
      </c>
      <c r="G324" s="7">
        <f>SUMIFS(Лист2!$E:$E,Лист2!$A:$A,A324,Лист2!$B:$B,B324)</f>
        <v>12517</v>
      </c>
      <c r="H324">
        <f t="shared" si="10"/>
        <v>380680.16949152545</v>
      </c>
      <c r="I324" s="15">
        <f t="shared" si="11"/>
        <v>19</v>
      </c>
    </row>
    <row r="325" spans="1:9" ht="14.25" customHeight="1" x14ac:dyDescent="0.2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SUMIFS(Лист2!$C:$C,Лист2!$A:$A,A325,Лист2!$B:$B,B325)</f>
        <v>60</v>
      </c>
      <c r="F325" s="7">
        <f>SUMIFS(Лист2!$D:$D,Лист2!$A:$A,A325,Лист2!$B:$B,B325)</f>
        <v>12822</v>
      </c>
      <c r="G325" s="7">
        <f>SUMIFS(Лист2!$E:$E,Лист2!$A:$A,A325,Лист2!$B:$B,B325)</f>
        <v>11916</v>
      </c>
      <c r="H325">
        <f t="shared" si="10"/>
        <v>332663.34999999998</v>
      </c>
      <c r="I325" s="15">
        <f t="shared" si="11"/>
        <v>21</v>
      </c>
    </row>
    <row r="326" spans="1:9" ht="14.25" customHeight="1" x14ac:dyDescent="0.2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SUMIFS(Лист2!$C:$C,Лист2!$A:$A,A326,Лист2!$B:$B,B326)</f>
        <v>54</v>
      </c>
      <c r="F326" s="7">
        <f>SUMIFS(Лист2!$D:$D,Лист2!$A:$A,A326,Лист2!$B:$B,B326)</f>
        <v>13170</v>
      </c>
      <c r="G326" s="7">
        <f>SUMIFS(Лист2!$E:$E,Лист2!$A:$A,A326,Лист2!$B:$B,B326)</f>
        <v>12299</v>
      </c>
      <c r="H326">
        <f t="shared" si="10"/>
        <v>413987.75</v>
      </c>
      <c r="I326" s="15">
        <f t="shared" si="11"/>
        <v>20</v>
      </c>
    </row>
    <row r="327" spans="1:9" ht="14.25" customHeight="1" x14ac:dyDescent="0.2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SUMIFS(Лист2!$C:$C,Лист2!$A:$A,A327,Лист2!$B:$B,B327)</f>
        <v>54</v>
      </c>
      <c r="F327" s="7">
        <f>SUMIFS(Лист2!$D:$D,Лист2!$A:$A,A327,Лист2!$B:$B,B327)</f>
        <v>13070</v>
      </c>
      <c r="G327" s="7">
        <f>SUMIFS(Лист2!$E:$E,Лист2!$A:$A,A327,Лист2!$B:$B,B327)</f>
        <v>12244</v>
      </c>
      <c r="H327">
        <f t="shared" si="10"/>
        <v>381297.63888888888</v>
      </c>
      <c r="I327" s="15">
        <f t="shared" si="11"/>
        <v>21</v>
      </c>
    </row>
    <row r="328" spans="1:9" ht="14.25" customHeight="1" x14ac:dyDescent="0.2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SUMIFS(Лист2!$C:$C,Лист2!$A:$A,A328,Лист2!$B:$B,B328)</f>
        <v>54</v>
      </c>
      <c r="F328" s="7">
        <f>SUMIFS(Лист2!$D:$D,Лист2!$A:$A,A328,Лист2!$B:$B,B328)</f>
        <v>11128</v>
      </c>
      <c r="G328" s="7">
        <f>SUMIFS(Лист2!$E:$E,Лист2!$A:$A,A328,Лист2!$B:$B,B328)</f>
        <v>10467</v>
      </c>
      <c r="H328">
        <f t="shared" si="10"/>
        <v>341649.83333333331</v>
      </c>
      <c r="I328" s="15">
        <f t="shared" si="11"/>
        <v>20</v>
      </c>
    </row>
    <row r="329" spans="1:9" ht="14.25" customHeight="1" x14ac:dyDescent="0.2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SUMIFS(Лист2!$C:$C,Лист2!$A:$A,A329,Лист2!$B:$B,B329)</f>
        <v>54</v>
      </c>
      <c r="F329" s="7">
        <f>SUMIFS(Лист2!$D:$D,Лист2!$A:$A,A329,Лист2!$B:$B,B329)</f>
        <v>11288</v>
      </c>
      <c r="G329" s="7">
        <f>SUMIFS(Лист2!$E:$E,Лист2!$A:$A,A329,Лист2!$B:$B,B329)</f>
        <v>10492</v>
      </c>
      <c r="H329">
        <f t="shared" si="10"/>
        <v>334922.19444444444</v>
      </c>
      <c r="I329" s="15">
        <f t="shared" si="11"/>
        <v>19</v>
      </c>
    </row>
    <row r="330" spans="1:9" ht="14.25" customHeight="1" x14ac:dyDescent="0.2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SUMIFS(Лист2!$C:$C,Лист2!$A:$A,A330,Лист2!$B:$B,B330)</f>
        <v>54</v>
      </c>
      <c r="F330" s="7">
        <f>SUMIFS(Лист2!$D:$D,Лист2!$A:$A,A330,Лист2!$B:$B,B330)</f>
        <v>13606</v>
      </c>
      <c r="G330" s="7">
        <f>SUMIFS(Лист2!$E:$E,Лист2!$A:$A,A330,Лист2!$B:$B,B330)</f>
        <v>12697</v>
      </c>
      <c r="H330">
        <f t="shared" si="10"/>
        <v>422163.47222222225</v>
      </c>
      <c r="I330" s="15">
        <f t="shared" si="11"/>
        <v>19</v>
      </c>
    </row>
    <row r="331" spans="1:9" ht="14.25" customHeight="1" x14ac:dyDescent="0.2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SUMIFS(Лист2!$C:$C,Лист2!$A:$A,A331,Лист2!$B:$B,B331)</f>
        <v>54</v>
      </c>
      <c r="F331" s="7">
        <f>SUMIFS(Лист2!$D:$D,Лист2!$A:$A,A331,Лист2!$B:$B,B331)</f>
        <v>11622</v>
      </c>
      <c r="G331" s="7">
        <f>SUMIFS(Лист2!$E:$E,Лист2!$A:$A,A331,Лист2!$B:$B,B331)</f>
        <v>10754</v>
      </c>
      <c r="H331">
        <f t="shared" si="10"/>
        <v>344924.47222222225</v>
      </c>
      <c r="I331" s="15">
        <f t="shared" si="11"/>
        <v>18</v>
      </c>
    </row>
    <row r="332" spans="1:9" ht="14.25" customHeight="1" x14ac:dyDescent="0.2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SUMIFS(Лист2!$C:$C,Лист2!$A:$A,A332,Лист2!$B:$B,B332)</f>
        <v>54</v>
      </c>
      <c r="F332" s="7">
        <f>SUMIFS(Лист2!$D:$D,Лист2!$A:$A,A332,Лист2!$B:$B,B332)</f>
        <v>14482</v>
      </c>
      <c r="G332" s="7">
        <f>SUMIFS(Лист2!$E:$E,Лист2!$A:$A,A332,Лист2!$B:$B,B332)</f>
        <v>13510</v>
      </c>
      <c r="H332">
        <f t="shared" si="10"/>
        <v>441784.16666666669</v>
      </c>
      <c r="I332" s="15">
        <f t="shared" si="11"/>
        <v>22</v>
      </c>
    </row>
    <row r="333" spans="1:9" ht="14.25" customHeight="1" x14ac:dyDescent="0.2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SUMIFS(Лист2!$C:$C,Лист2!$A:$A,A333,Лист2!$B:$B,B333)</f>
        <v>54</v>
      </c>
      <c r="F333" s="7">
        <f>SUMIFS(Лист2!$D:$D,Лист2!$A:$A,A333,Лист2!$B:$B,B333)</f>
        <v>14205</v>
      </c>
      <c r="G333" s="7">
        <f>SUMIFS(Лист2!$E:$E,Лист2!$A:$A,A333,Лист2!$B:$B,B333)</f>
        <v>13026</v>
      </c>
      <c r="H333">
        <f t="shared" si="10"/>
        <v>443584</v>
      </c>
      <c r="I333" s="15">
        <f t="shared" si="11"/>
        <v>18</v>
      </c>
    </row>
    <row r="334" spans="1:9" ht="14.25" customHeight="1" x14ac:dyDescent="0.2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SUMIFS(Лист2!$C:$C,Лист2!$A:$A,A334,Лист2!$B:$B,B334)</f>
        <v>54</v>
      </c>
      <c r="F334" s="7">
        <f>SUMIFS(Лист2!$D:$D,Лист2!$A:$A,A334,Лист2!$B:$B,B334)</f>
        <v>11614</v>
      </c>
      <c r="G334" s="7">
        <f>SUMIFS(Лист2!$E:$E,Лист2!$A:$A,A334,Лист2!$B:$B,B334)</f>
        <v>10862</v>
      </c>
      <c r="H334">
        <f t="shared" si="10"/>
        <v>346630.30555555556</v>
      </c>
      <c r="I334" s="15">
        <f t="shared" si="11"/>
        <v>20</v>
      </c>
    </row>
    <row r="335" spans="1:9" ht="14.25" customHeight="1" x14ac:dyDescent="0.2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SUMIFS(Лист2!$C:$C,Лист2!$A:$A,A335,Лист2!$B:$B,B335)</f>
        <v>54</v>
      </c>
      <c r="F335" s="7">
        <f>SUMIFS(Лист2!$D:$D,Лист2!$A:$A,A335,Лист2!$B:$B,B335)</f>
        <v>13240</v>
      </c>
      <c r="G335" s="7">
        <f>SUMIFS(Лист2!$E:$E,Лист2!$A:$A,A335,Лист2!$B:$B,B335)</f>
        <v>12360</v>
      </c>
      <c r="H335">
        <f t="shared" si="10"/>
        <v>389679.13888888888</v>
      </c>
      <c r="I335" s="15">
        <f t="shared" si="11"/>
        <v>21</v>
      </c>
    </row>
    <row r="336" spans="1:9" ht="14.25" customHeight="1" x14ac:dyDescent="0.2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SUMIFS(Лист2!$C:$C,Лист2!$A:$A,A336,Лист2!$B:$B,B336)</f>
        <v>54</v>
      </c>
      <c r="F336" s="7">
        <f>SUMIFS(Лист2!$D:$D,Лист2!$A:$A,A336,Лист2!$B:$B,B336)</f>
        <v>13298</v>
      </c>
      <c r="G336" s="7">
        <f>SUMIFS(Лист2!$E:$E,Лист2!$A:$A,A336,Лист2!$B:$B,B336)</f>
        <v>12428</v>
      </c>
      <c r="H336">
        <f t="shared" si="10"/>
        <v>396506.47222222225</v>
      </c>
      <c r="I336" s="15">
        <f t="shared" si="11"/>
        <v>21</v>
      </c>
    </row>
    <row r="337" spans="1:9" ht="14.25" customHeight="1" x14ac:dyDescent="0.2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SUMIFS(Лист2!$C:$C,Лист2!$A:$A,A337,Лист2!$B:$B,B337)</f>
        <v>54</v>
      </c>
      <c r="F337" s="7">
        <f>SUMIFS(Лист2!$D:$D,Лист2!$A:$A,A337,Лист2!$B:$B,B337)</f>
        <v>12775</v>
      </c>
      <c r="G337" s="7">
        <f>SUMIFS(Лист2!$E:$E,Лист2!$A:$A,A337,Лист2!$B:$B,B337)</f>
        <v>11887</v>
      </c>
      <c r="H337">
        <f t="shared" si="10"/>
        <v>386669.30555555556</v>
      </c>
      <c r="I337" s="15">
        <f t="shared" si="11"/>
        <v>19</v>
      </c>
    </row>
    <row r="338" spans="1:9" ht="14.25" customHeight="1" x14ac:dyDescent="0.2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SUMIFS(Лист2!$C:$C,Лист2!$A:$A,A338,Лист2!$B:$B,B338)</f>
        <v>54</v>
      </c>
      <c r="F338" s="7">
        <f>SUMIFS(Лист2!$D:$D,Лист2!$A:$A,A338,Лист2!$B:$B,B338)</f>
        <v>11522</v>
      </c>
      <c r="G338" s="7">
        <f>SUMIFS(Лист2!$E:$E,Лист2!$A:$A,A338,Лист2!$B:$B,B338)</f>
        <v>10803</v>
      </c>
      <c r="H338">
        <f t="shared" si="10"/>
        <v>347851.86111111112</v>
      </c>
      <c r="I338" s="15">
        <f t="shared" si="11"/>
        <v>20</v>
      </c>
    </row>
    <row r="339" spans="1:9" ht="14.25" customHeight="1" x14ac:dyDescent="0.2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SUMIFS(Лист2!$C:$C,Лист2!$A:$A,A339,Лист2!$B:$B,B339)</f>
        <v>59</v>
      </c>
      <c r="F339" s="7">
        <f>SUMIFS(Лист2!$D:$D,Лист2!$A:$A,A339,Лист2!$B:$B,B339)</f>
        <v>13684</v>
      </c>
      <c r="G339" s="7">
        <f>SUMIFS(Лист2!$E:$E,Лист2!$A:$A,A339,Лист2!$B:$B,B339)</f>
        <v>12690</v>
      </c>
      <c r="H339">
        <f t="shared" si="10"/>
        <v>365852.82203389832</v>
      </c>
      <c r="I339" s="15">
        <f t="shared" si="11"/>
        <v>22</v>
      </c>
    </row>
    <row r="340" spans="1:9" ht="14.25" customHeight="1" x14ac:dyDescent="0.2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SUMIFS(Лист2!$C:$C,Лист2!$A:$A,A340,Лист2!$B:$B,B340)</f>
        <v>54</v>
      </c>
      <c r="F340" s="7">
        <f>SUMIFS(Лист2!$D:$D,Лист2!$A:$A,A340,Лист2!$B:$B,B340)</f>
        <v>14823</v>
      </c>
      <c r="G340" s="7">
        <f>SUMIFS(Лист2!$E:$E,Лист2!$A:$A,A340,Лист2!$B:$B,B340)</f>
        <v>13751</v>
      </c>
      <c r="H340">
        <f t="shared" si="10"/>
        <v>472575.41666666669</v>
      </c>
      <c r="I340" s="15">
        <f t="shared" si="11"/>
        <v>18</v>
      </c>
    </row>
    <row r="341" spans="1:9" ht="14.25" customHeight="1" x14ac:dyDescent="0.2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SUMIFS(Лист2!$C:$C,Лист2!$A:$A,A341,Лист2!$B:$B,B341)</f>
        <v>59</v>
      </c>
      <c r="F341" s="7">
        <f>SUMIFS(Лист2!$D:$D,Лист2!$A:$A,A341,Лист2!$B:$B,B341)</f>
        <v>15030</v>
      </c>
      <c r="G341" s="7">
        <f>SUMIFS(Лист2!$E:$E,Лист2!$A:$A,A341,Лист2!$B:$B,B341)</f>
        <v>13956</v>
      </c>
      <c r="H341">
        <f t="shared" si="10"/>
        <v>415716.0254237288</v>
      </c>
      <c r="I341" s="15">
        <f t="shared" si="11"/>
        <v>22</v>
      </c>
    </row>
    <row r="342" spans="1:9" ht="14.25" customHeight="1" x14ac:dyDescent="0.2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SUMIFS(Лист2!$C:$C,Лист2!$A:$A,A342,Лист2!$B:$B,B342)</f>
        <v>54</v>
      </c>
      <c r="F342" s="7">
        <f>SUMIFS(Лист2!$D:$D,Лист2!$A:$A,A342,Лист2!$B:$B,B342)</f>
        <v>13406</v>
      </c>
      <c r="G342" s="7">
        <f>SUMIFS(Лист2!$E:$E,Лист2!$A:$A,A342,Лист2!$B:$B,B342)</f>
        <v>12518</v>
      </c>
      <c r="H342">
        <f t="shared" si="10"/>
        <v>409748.97222222225</v>
      </c>
      <c r="I342" s="15">
        <f t="shared" si="11"/>
        <v>19</v>
      </c>
    </row>
    <row r="343" spans="1:9" ht="14.25" customHeight="1" x14ac:dyDescent="0.2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SUMIFS(Лист2!$C:$C,Лист2!$A:$A,A343,Лист2!$B:$B,B343)</f>
        <v>54</v>
      </c>
      <c r="F343" s="7">
        <f>SUMIFS(Лист2!$D:$D,Лист2!$A:$A,A343,Лист2!$B:$B,B343)</f>
        <v>16221</v>
      </c>
      <c r="G343" s="7">
        <f>SUMIFS(Лист2!$E:$E,Лист2!$A:$A,A343,Лист2!$B:$B,B343)</f>
        <v>15065</v>
      </c>
      <c r="H343">
        <f t="shared" si="10"/>
        <v>496419</v>
      </c>
      <c r="I343" s="15">
        <f t="shared" si="11"/>
        <v>21</v>
      </c>
    </row>
    <row r="344" spans="1:9" ht="14.25" customHeight="1" x14ac:dyDescent="0.2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SUMIFS(Лист2!$C:$C,Лист2!$A:$A,A344,Лист2!$B:$B,B344)</f>
        <v>60</v>
      </c>
      <c r="F344" s="7">
        <f>SUMIFS(Лист2!$D:$D,Лист2!$A:$A,A344,Лист2!$B:$B,B344)</f>
        <v>12854</v>
      </c>
      <c r="G344" s="7">
        <f>SUMIFS(Лист2!$E:$E,Лист2!$A:$A,A344,Лист2!$B:$B,B344)</f>
        <v>11954</v>
      </c>
      <c r="H344">
        <f t="shared" si="10"/>
        <v>342262.22499999998</v>
      </c>
      <c r="I344" s="15">
        <f t="shared" si="11"/>
        <v>22</v>
      </c>
    </row>
    <row r="345" spans="1:9" ht="14.25" customHeight="1" x14ac:dyDescent="0.2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SUMIFS(Лист2!$C:$C,Лист2!$A:$A,A345,Лист2!$B:$B,B345)</f>
        <v>54</v>
      </c>
      <c r="F345" s="7">
        <f>SUMIFS(Лист2!$D:$D,Лист2!$A:$A,A345,Лист2!$B:$B,B345)</f>
        <v>12336</v>
      </c>
      <c r="G345" s="7">
        <f>SUMIFS(Лист2!$E:$E,Лист2!$A:$A,A345,Лист2!$B:$B,B345)</f>
        <v>11519</v>
      </c>
      <c r="H345">
        <f t="shared" si="10"/>
        <v>366794.94444444444</v>
      </c>
      <c r="I345" s="15">
        <f t="shared" si="11"/>
        <v>22</v>
      </c>
    </row>
    <row r="346" spans="1:9" ht="14.25" customHeight="1" x14ac:dyDescent="0.2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SUMIFS(Лист2!$C:$C,Лист2!$A:$A,A346,Лист2!$B:$B,B346)</f>
        <v>54</v>
      </c>
      <c r="F346" s="7">
        <f>SUMIFS(Лист2!$D:$D,Лист2!$A:$A,A346,Лист2!$B:$B,B346)</f>
        <v>12817</v>
      </c>
      <c r="G346" s="7">
        <f>SUMIFS(Лист2!$E:$E,Лист2!$A:$A,A346,Лист2!$B:$B,B346)</f>
        <v>11865</v>
      </c>
      <c r="H346">
        <f t="shared" si="10"/>
        <v>402601.11111111112</v>
      </c>
      <c r="I346" s="15">
        <f t="shared" si="11"/>
        <v>18</v>
      </c>
    </row>
    <row r="347" spans="1:9" ht="14.25" customHeight="1" x14ac:dyDescent="0.2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SUMIFS(Лист2!$C:$C,Лист2!$A:$A,A347,Лист2!$B:$B,B347)</f>
        <v>54</v>
      </c>
      <c r="F347" s="7">
        <f>SUMIFS(Лист2!$D:$D,Лист2!$A:$A,A347,Лист2!$B:$B,B347)</f>
        <v>13832</v>
      </c>
      <c r="G347" s="7">
        <f>SUMIFS(Лист2!$E:$E,Лист2!$A:$A,A347,Лист2!$B:$B,B347)</f>
        <v>12864</v>
      </c>
      <c r="H347">
        <f t="shared" si="10"/>
        <v>434143.05555555556</v>
      </c>
      <c r="I347" s="15">
        <f t="shared" si="11"/>
        <v>19</v>
      </c>
    </row>
    <row r="348" spans="1:9" ht="14.25" customHeight="1" x14ac:dyDescent="0.2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SUMIFS(Лист2!$C:$C,Лист2!$A:$A,A348,Лист2!$B:$B,B348)</f>
        <v>54</v>
      </c>
      <c r="F348" s="7">
        <f>SUMIFS(Лист2!$D:$D,Лист2!$A:$A,A348,Лист2!$B:$B,B348)</f>
        <v>13563</v>
      </c>
      <c r="G348" s="7">
        <f>SUMIFS(Лист2!$E:$E,Лист2!$A:$A,A348,Лист2!$B:$B,B348)</f>
        <v>12604</v>
      </c>
      <c r="H348">
        <f t="shared" si="10"/>
        <v>423075.52777777775</v>
      </c>
      <c r="I348" s="15">
        <f t="shared" si="11"/>
        <v>19</v>
      </c>
    </row>
    <row r="349" spans="1:9" ht="14.25" customHeight="1" x14ac:dyDescent="0.2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SUMIFS(Лист2!$C:$C,Лист2!$A:$A,A349,Лист2!$B:$B,B349)</f>
        <v>54</v>
      </c>
      <c r="F349" s="7">
        <f>SUMIFS(Лист2!$D:$D,Лист2!$A:$A,A349,Лист2!$B:$B,B349)</f>
        <v>12743</v>
      </c>
      <c r="G349" s="7">
        <f>SUMIFS(Лист2!$E:$E,Лист2!$A:$A,A349,Лист2!$B:$B,B349)</f>
        <v>11858</v>
      </c>
      <c r="H349">
        <f t="shared" si="10"/>
        <v>397463.38888888888</v>
      </c>
      <c r="I349" s="15">
        <f t="shared" si="11"/>
        <v>19</v>
      </c>
    </row>
    <row r="350" spans="1:9" ht="14.25" customHeight="1" x14ac:dyDescent="0.2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SUMIFS(Лист2!$C:$C,Лист2!$A:$A,A350,Лист2!$B:$B,B350)</f>
        <v>54</v>
      </c>
      <c r="F350" s="7">
        <f>SUMIFS(Лист2!$D:$D,Лист2!$A:$A,A350,Лист2!$B:$B,B350)</f>
        <v>12211</v>
      </c>
      <c r="G350" s="7">
        <f>SUMIFS(Лист2!$E:$E,Лист2!$A:$A,A350,Лист2!$B:$B,B350)</f>
        <v>11427</v>
      </c>
      <c r="H350">
        <f t="shared" si="10"/>
        <v>353168.83333333331</v>
      </c>
      <c r="I350" s="15">
        <f t="shared" si="11"/>
        <v>21</v>
      </c>
    </row>
    <row r="351" spans="1:9" ht="14.25" customHeight="1" x14ac:dyDescent="0.2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SUMIFS(Лист2!$C:$C,Лист2!$A:$A,A351,Лист2!$B:$B,B351)</f>
        <v>15</v>
      </c>
      <c r="F351" s="7">
        <f>SUMIFS(Лист2!$D:$D,Лист2!$A:$A,A351,Лист2!$B:$B,B351)</f>
        <v>659</v>
      </c>
      <c r="G351" s="7">
        <f>SUMIFS(Лист2!$E:$E,Лист2!$A:$A,A351,Лист2!$B:$B,B351)</f>
        <v>575</v>
      </c>
      <c r="H351">
        <f t="shared" si="10"/>
        <v>65434.6</v>
      </c>
      <c r="I351" s="15">
        <f t="shared" si="11"/>
        <v>18</v>
      </c>
    </row>
    <row r="352" spans="1:9" ht="14.25" customHeight="1" x14ac:dyDescent="0.2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SUMIFS(Лист2!$C:$C,Лист2!$A:$A,A352,Лист2!$B:$B,B352)</f>
        <v>15</v>
      </c>
      <c r="F352" s="7">
        <f>SUMIFS(Лист2!$D:$D,Лист2!$A:$A,A352,Лист2!$B:$B,B352)</f>
        <v>636</v>
      </c>
      <c r="G352" s="7">
        <f>SUMIFS(Лист2!$E:$E,Лист2!$A:$A,A352,Лист2!$B:$B,B352)</f>
        <v>547</v>
      </c>
      <c r="H352">
        <f t="shared" si="10"/>
        <v>66169.399999999994</v>
      </c>
      <c r="I352" s="15">
        <f t="shared" si="11"/>
        <v>18</v>
      </c>
    </row>
    <row r="353" spans="1:9" ht="14.25" customHeight="1" x14ac:dyDescent="0.2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SUMIFS(Лист2!$C:$C,Лист2!$A:$A,A353,Лист2!$B:$B,B353)</f>
        <v>54</v>
      </c>
      <c r="F353" s="7">
        <f>SUMIFS(Лист2!$D:$D,Лист2!$A:$A,A353,Лист2!$B:$B,B353)</f>
        <v>13106</v>
      </c>
      <c r="G353" s="7">
        <f>SUMIFS(Лист2!$E:$E,Лист2!$A:$A,A353,Лист2!$B:$B,B353)</f>
        <v>12164</v>
      </c>
      <c r="H353">
        <f t="shared" si="10"/>
        <v>383652.75</v>
      </c>
      <c r="I353" s="15">
        <f t="shared" si="11"/>
        <v>22</v>
      </c>
    </row>
    <row r="354" spans="1:9" ht="14.25" customHeight="1" x14ac:dyDescent="0.2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SUMIFS(Лист2!$C:$C,Лист2!$A:$A,A354,Лист2!$B:$B,B354)</f>
        <v>54</v>
      </c>
      <c r="F354" s="7">
        <f>SUMIFS(Лист2!$D:$D,Лист2!$A:$A,A354,Лист2!$B:$B,B354)</f>
        <v>14590</v>
      </c>
      <c r="G354" s="7">
        <f>SUMIFS(Лист2!$E:$E,Лист2!$A:$A,A354,Лист2!$B:$B,B354)</f>
        <v>13551</v>
      </c>
      <c r="H354">
        <f t="shared" si="10"/>
        <v>447258.88888888888</v>
      </c>
      <c r="I354" s="15">
        <f t="shared" si="11"/>
        <v>22</v>
      </c>
    </row>
    <row r="355" spans="1:9" ht="14.25" customHeight="1" x14ac:dyDescent="0.2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SUMIFS(Лист2!$C:$C,Лист2!$A:$A,A355,Лист2!$B:$B,B355)</f>
        <v>54</v>
      </c>
      <c r="F355" s="7">
        <f>SUMIFS(Лист2!$D:$D,Лист2!$A:$A,A355,Лист2!$B:$B,B355)</f>
        <v>12409</v>
      </c>
      <c r="G355" s="7">
        <f>SUMIFS(Лист2!$E:$E,Лист2!$A:$A,A355,Лист2!$B:$B,B355)</f>
        <v>11582</v>
      </c>
      <c r="H355">
        <f t="shared" si="10"/>
        <v>362019.19444444444</v>
      </c>
      <c r="I355" s="15">
        <f t="shared" si="11"/>
        <v>22</v>
      </c>
    </row>
    <row r="356" spans="1:9" ht="14.25" customHeight="1" x14ac:dyDescent="0.2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SUMIFS(Лист2!$C:$C,Лист2!$A:$A,A356,Лист2!$B:$B,B356)</f>
        <v>16</v>
      </c>
      <c r="F356" s="7">
        <f>SUMIFS(Лист2!$D:$D,Лист2!$A:$A,A356,Лист2!$B:$B,B356)</f>
        <v>920</v>
      </c>
      <c r="G356" s="7">
        <f>SUMIFS(Лист2!$E:$E,Лист2!$A:$A,A356,Лист2!$B:$B,B356)</f>
        <v>818</v>
      </c>
      <c r="H356">
        <f t="shared" si="10"/>
        <v>82271.90625</v>
      </c>
      <c r="I356" s="15">
        <f t="shared" si="11"/>
        <v>20</v>
      </c>
    </row>
    <row r="357" spans="1:9" ht="14.25" customHeight="1" x14ac:dyDescent="0.2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SUMIFS(Лист2!$C:$C,Лист2!$A:$A,A357,Лист2!$B:$B,B357)</f>
        <v>17</v>
      </c>
      <c r="F357" s="7">
        <f>SUMIFS(Лист2!$D:$D,Лист2!$A:$A,A357,Лист2!$B:$B,B357)</f>
        <v>857</v>
      </c>
      <c r="G357" s="7">
        <f>SUMIFS(Лист2!$E:$E,Лист2!$A:$A,A357,Лист2!$B:$B,B357)</f>
        <v>757</v>
      </c>
      <c r="H357">
        <f t="shared" si="10"/>
        <v>66282.970588235301</v>
      </c>
      <c r="I357" s="15">
        <f t="shared" si="11"/>
        <v>21</v>
      </c>
    </row>
    <row r="358" spans="1:9" ht="14.25" customHeight="1" x14ac:dyDescent="0.2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SUMIFS(Лист2!$C:$C,Лист2!$A:$A,A358,Лист2!$B:$B,B358)</f>
        <v>16</v>
      </c>
      <c r="F358" s="7">
        <f>SUMIFS(Лист2!$D:$D,Лист2!$A:$A,A358,Лист2!$B:$B,B358)</f>
        <v>859</v>
      </c>
      <c r="G358" s="7">
        <f>SUMIFS(Лист2!$E:$E,Лист2!$A:$A,A358,Лист2!$B:$B,B358)</f>
        <v>746</v>
      </c>
      <c r="H358">
        <f t="shared" si="10"/>
        <v>72345.5625</v>
      </c>
      <c r="I358" s="15">
        <f t="shared" si="11"/>
        <v>20</v>
      </c>
    </row>
    <row r="359" spans="1:9" ht="14.25" customHeight="1" x14ac:dyDescent="0.2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SUMIFS(Лист2!$C:$C,Лист2!$A:$A,A359,Лист2!$B:$B,B359)</f>
        <v>15</v>
      </c>
      <c r="F359" s="7">
        <f>SUMIFS(Лист2!$D:$D,Лист2!$A:$A,A359,Лист2!$B:$B,B359)</f>
        <v>654</v>
      </c>
      <c r="G359" s="7">
        <f>SUMIFS(Лист2!$E:$E,Лист2!$A:$A,A359,Лист2!$B:$B,B359)</f>
        <v>570</v>
      </c>
      <c r="H359">
        <f t="shared" si="10"/>
        <v>63720.1</v>
      </c>
      <c r="I359" s="15">
        <f t="shared" si="11"/>
        <v>19</v>
      </c>
    </row>
    <row r="360" spans="1:9" ht="14.25" customHeight="1" x14ac:dyDescent="0.2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SUMIFS(Лист2!$C:$C,Лист2!$A:$A,A360,Лист2!$B:$B,B360)</f>
        <v>15</v>
      </c>
      <c r="F360" s="7">
        <f>SUMIFS(Лист2!$D:$D,Лист2!$A:$A,A360,Лист2!$B:$B,B360)</f>
        <v>622</v>
      </c>
      <c r="G360" s="7">
        <f>SUMIFS(Лист2!$E:$E,Лист2!$A:$A,A360,Лист2!$B:$B,B360)</f>
        <v>538</v>
      </c>
      <c r="H360">
        <f t="shared" si="10"/>
        <v>60422.9</v>
      </c>
      <c r="I360" s="15">
        <f t="shared" si="11"/>
        <v>19</v>
      </c>
    </row>
    <row r="361" spans="1:9" ht="14.25" customHeight="1" x14ac:dyDescent="0.2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SUMIFS(Лист2!$C:$C,Лист2!$A:$A,A361,Лист2!$B:$B,B361)</f>
        <v>15</v>
      </c>
      <c r="F361" s="7">
        <f>SUMIFS(Лист2!$D:$D,Лист2!$A:$A,A361,Лист2!$B:$B,B361)</f>
        <v>567</v>
      </c>
      <c r="G361" s="7">
        <f>SUMIFS(Лист2!$E:$E,Лист2!$A:$A,A361,Лист2!$B:$B,B361)</f>
        <v>493</v>
      </c>
      <c r="H361">
        <f t="shared" si="10"/>
        <v>54457.3</v>
      </c>
      <c r="I361" s="15">
        <f t="shared" si="11"/>
        <v>18</v>
      </c>
    </row>
    <row r="362" spans="1:9" ht="14.25" customHeight="1" x14ac:dyDescent="0.2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SUMIFS(Лист2!$C:$C,Лист2!$A:$A,A362,Лист2!$B:$B,B362)</f>
        <v>7</v>
      </c>
      <c r="F362" s="7">
        <f>SUMIFS(Лист2!$D:$D,Лист2!$A:$A,A362,Лист2!$B:$B,B362)</f>
        <v>577</v>
      </c>
      <c r="G362" s="7">
        <f>SUMIFS(Лист2!$E:$E,Лист2!$A:$A,A362,Лист2!$B:$B,B362)</f>
        <v>389</v>
      </c>
      <c r="H362">
        <f t="shared" si="10"/>
        <v>119116.5</v>
      </c>
      <c r="I362" s="15">
        <f t="shared" si="11"/>
        <v>22</v>
      </c>
    </row>
    <row r="363" spans="1:9" ht="14.25" customHeight="1" x14ac:dyDescent="0.2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SUMIFS(Лист2!$C:$C,Лист2!$A:$A,A363,Лист2!$B:$B,B363)</f>
        <v>15</v>
      </c>
      <c r="F363" s="7">
        <f>SUMIFS(Лист2!$D:$D,Лист2!$A:$A,A363,Лист2!$B:$B,B363)</f>
        <v>721</v>
      </c>
      <c r="G363" s="7">
        <f>SUMIFS(Лист2!$E:$E,Лист2!$A:$A,A363,Лист2!$B:$B,B363)</f>
        <v>625</v>
      </c>
      <c r="H363">
        <f t="shared" si="10"/>
        <v>75629.600000000006</v>
      </c>
      <c r="I363" s="15">
        <f t="shared" si="11"/>
        <v>18</v>
      </c>
    </row>
    <row r="364" spans="1:9" ht="14.25" customHeight="1" x14ac:dyDescent="0.2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SUMIFS(Лист2!$C:$C,Лист2!$A:$A,A364,Лист2!$B:$B,B364)</f>
        <v>15</v>
      </c>
      <c r="F364" s="7">
        <f>SUMIFS(Лист2!$D:$D,Лист2!$A:$A,A364,Лист2!$B:$B,B364)</f>
        <v>750</v>
      </c>
      <c r="G364" s="7">
        <f>SUMIFS(Лист2!$E:$E,Лист2!$A:$A,A364,Лист2!$B:$B,B364)</f>
        <v>659</v>
      </c>
      <c r="H364">
        <f t="shared" si="10"/>
        <v>72818.5</v>
      </c>
      <c r="I364" s="15">
        <f t="shared" si="11"/>
        <v>20</v>
      </c>
    </row>
    <row r="365" spans="1:9" ht="14.25" customHeight="1" x14ac:dyDescent="0.2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SUMIFS(Лист2!$C:$C,Лист2!$A:$A,A365,Лист2!$B:$B,B365)</f>
        <v>18</v>
      </c>
      <c r="F365" s="7">
        <f>SUMIFS(Лист2!$D:$D,Лист2!$A:$A,A365,Лист2!$B:$B,B365)</f>
        <v>888</v>
      </c>
      <c r="G365" s="7">
        <f>SUMIFS(Лист2!$E:$E,Лист2!$A:$A,A365,Лист2!$B:$B,B365)</f>
        <v>786</v>
      </c>
      <c r="H365">
        <f t="shared" si="10"/>
        <v>65143</v>
      </c>
      <c r="I365" s="15">
        <f t="shared" si="11"/>
        <v>21</v>
      </c>
    </row>
    <row r="366" spans="1:9" ht="14.25" customHeight="1" x14ac:dyDescent="0.2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SUMIFS(Лист2!$C:$C,Лист2!$A:$A,A366,Лист2!$B:$B,B366)</f>
        <v>17</v>
      </c>
      <c r="F366" s="7">
        <f>SUMIFS(Лист2!$D:$D,Лист2!$A:$A,A366,Лист2!$B:$B,B366)</f>
        <v>890</v>
      </c>
      <c r="G366" s="7">
        <f>SUMIFS(Лист2!$E:$E,Лист2!$A:$A,A366,Лист2!$B:$B,B366)</f>
        <v>794</v>
      </c>
      <c r="H366">
        <f t="shared" si="10"/>
        <v>71632.323529411762</v>
      </c>
      <c r="I366" s="15">
        <f t="shared" si="11"/>
        <v>21</v>
      </c>
    </row>
    <row r="367" spans="1:9" ht="14.25" customHeight="1" x14ac:dyDescent="0.2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SUMIFS(Лист2!$C:$C,Лист2!$A:$A,A367,Лист2!$B:$B,B367)</f>
        <v>15</v>
      </c>
      <c r="F367" s="7">
        <f>SUMIFS(Лист2!$D:$D,Лист2!$A:$A,A367,Лист2!$B:$B,B367)</f>
        <v>750</v>
      </c>
      <c r="G367" s="7">
        <f>SUMIFS(Лист2!$E:$E,Лист2!$A:$A,A367,Лист2!$B:$B,B367)</f>
        <v>658</v>
      </c>
      <c r="H367">
        <f t="shared" si="10"/>
        <v>76371.7</v>
      </c>
      <c r="I367" s="15">
        <f t="shared" si="11"/>
        <v>19</v>
      </c>
    </row>
    <row r="368" spans="1:9" ht="14.25" customHeight="1" x14ac:dyDescent="0.2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SUMIFS(Лист2!$C:$C,Лист2!$A:$A,A368,Лист2!$B:$B,B368)</f>
        <v>15</v>
      </c>
      <c r="F368" s="7">
        <f>SUMIFS(Лист2!$D:$D,Лист2!$A:$A,A368,Лист2!$B:$B,B368)</f>
        <v>854</v>
      </c>
      <c r="G368" s="7">
        <f>SUMIFS(Лист2!$E:$E,Лист2!$A:$A,A368,Лист2!$B:$B,B368)</f>
        <v>756</v>
      </c>
      <c r="H368">
        <f t="shared" si="10"/>
        <v>78179.399999999994</v>
      </c>
      <c r="I368" s="15">
        <f t="shared" si="11"/>
        <v>20</v>
      </c>
    </row>
    <row r="369" spans="1:9" ht="14.25" customHeight="1" x14ac:dyDescent="0.2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SUMIFS(Лист2!$C:$C,Лист2!$A:$A,A369,Лист2!$B:$B,B369)</f>
        <v>15</v>
      </c>
      <c r="F369" s="7">
        <f>SUMIFS(Лист2!$D:$D,Лист2!$A:$A,A369,Лист2!$B:$B,B369)</f>
        <v>585</v>
      </c>
      <c r="G369" s="7">
        <f>SUMIFS(Лист2!$E:$E,Лист2!$A:$A,A369,Лист2!$B:$B,B369)</f>
        <v>502</v>
      </c>
      <c r="H369">
        <f t="shared" si="10"/>
        <v>54410</v>
      </c>
      <c r="I369" s="15">
        <f t="shared" si="11"/>
        <v>18</v>
      </c>
    </row>
    <row r="370" spans="1:9" ht="14.25" customHeight="1" x14ac:dyDescent="0.2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SUMIFS(Лист2!$C:$C,Лист2!$A:$A,A370,Лист2!$B:$B,B370)</f>
        <v>15</v>
      </c>
      <c r="F370" s="7">
        <f>SUMIFS(Лист2!$D:$D,Лист2!$A:$A,A370,Лист2!$B:$B,B370)</f>
        <v>701</v>
      </c>
      <c r="G370" s="7">
        <f>SUMIFS(Лист2!$E:$E,Лист2!$A:$A,A370,Лист2!$B:$B,B370)</f>
        <v>611</v>
      </c>
      <c r="H370">
        <f t="shared" si="10"/>
        <v>67771.100000000006</v>
      </c>
      <c r="I370" s="15">
        <f t="shared" si="11"/>
        <v>19</v>
      </c>
    </row>
    <row r="371" spans="1:9" ht="14.25" customHeight="1" x14ac:dyDescent="0.2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SUMIFS(Лист2!$C:$C,Лист2!$A:$A,A371,Лист2!$B:$B,B371)</f>
        <v>18</v>
      </c>
      <c r="F371" s="7">
        <f>SUMIFS(Лист2!$D:$D,Лист2!$A:$A,A371,Лист2!$B:$B,B371)</f>
        <v>1031</v>
      </c>
      <c r="G371" s="7">
        <f>SUMIFS(Лист2!$E:$E,Лист2!$A:$A,A371,Лист2!$B:$B,B371)</f>
        <v>918</v>
      </c>
      <c r="H371">
        <f t="shared" si="10"/>
        <v>80966.166666666672</v>
      </c>
      <c r="I371" s="15">
        <f t="shared" si="11"/>
        <v>21</v>
      </c>
    </row>
    <row r="372" spans="1:9" ht="14.25" customHeight="1" x14ac:dyDescent="0.2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SUMIFS(Лист2!$C:$C,Лист2!$A:$A,A372,Лист2!$B:$B,B372)</f>
        <v>18</v>
      </c>
      <c r="F372" s="7">
        <f>SUMIFS(Лист2!$D:$D,Лист2!$A:$A,A372,Лист2!$B:$B,B372)</f>
        <v>989</v>
      </c>
      <c r="G372" s="7">
        <f>SUMIFS(Лист2!$E:$E,Лист2!$A:$A,A372,Лист2!$B:$B,B372)</f>
        <v>887</v>
      </c>
      <c r="H372">
        <f t="shared" si="10"/>
        <v>73705.833333333328</v>
      </c>
      <c r="I372" s="15">
        <f t="shared" si="11"/>
        <v>22</v>
      </c>
    </row>
    <row r="373" spans="1:9" ht="14.25" customHeight="1" x14ac:dyDescent="0.2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SUMIFS(Лист2!$C:$C,Лист2!$A:$A,A373,Лист2!$B:$B,B373)</f>
        <v>15</v>
      </c>
      <c r="F373" s="7">
        <f>SUMIFS(Лист2!$D:$D,Лист2!$A:$A,A373,Лист2!$B:$B,B373)</f>
        <v>644</v>
      </c>
      <c r="G373" s="7">
        <f>SUMIFS(Лист2!$E:$E,Лист2!$A:$A,A373,Лист2!$B:$B,B373)</f>
        <v>550</v>
      </c>
      <c r="H373">
        <f t="shared" si="10"/>
        <v>66967.399999999994</v>
      </c>
      <c r="I373" s="15">
        <f t="shared" si="11"/>
        <v>18</v>
      </c>
    </row>
    <row r="374" spans="1:9" ht="14.25" customHeight="1" x14ac:dyDescent="0.2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SUMIFS(Лист2!$C:$C,Лист2!$A:$A,A374,Лист2!$B:$B,B374)</f>
        <v>15</v>
      </c>
      <c r="F374" s="7">
        <f>SUMIFS(Лист2!$D:$D,Лист2!$A:$A,A374,Лист2!$B:$B,B374)</f>
        <v>792</v>
      </c>
      <c r="G374" s="7">
        <f>SUMIFS(Лист2!$E:$E,Лист2!$A:$A,A374,Лист2!$B:$B,B374)</f>
        <v>695</v>
      </c>
      <c r="H374">
        <f t="shared" si="10"/>
        <v>81103.8</v>
      </c>
      <c r="I374" s="15">
        <f t="shared" si="11"/>
        <v>19</v>
      </c>
    </row>
    <row r="375" spans="1:9" ht="14.25" customHeight="1" x14ac:dyDescent="0.2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SUMIFS(Лист2!$C:$C,Лист2!$A:$A,A375,Лист2!$B:$B,B375)</f>
        <v>15</v>
      </c>
      <c r="F375" s="7">
        <f>SUMIFS(Лист2!$D:$D,Лист2!$A:$A,A375,Лист2!$B:$B,B375)</f>
        <v>703</v>
      </c>
      <c r="G375" s="7">
        <f>SUMIFS(Лист2!$E:$E,Лист2!$A:$A,A375,Лист2!$B:$B,B375)</f>
        <v>609</v>
      </c>
      <c r="H375">
        <f t="shared" si="10"/>
        <v>69789.899999999994</v>
      </c>
      <c r="I375" s="15">
        <f t="shared" si="11"/>
        <v>19</v>
      </c>
    </row>
    <row r="376" spans="1:9" ht="14.25" customHeight="1" x14ac:dyDescent="0.2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SUMIFS(Лист2!$C:$C,Лист2!$A:$A,A376,Лист2!$B:$B,B376)</f>
        <v>15</v>
      </c>
      <c r="F376" s="7">
        <f>SUMIFS(Лист2!$D:$D,Лист2!$A:$A,A376,Лист2!$B:$B,B376)</f>
        <v>676</v>
      </c>
      <c r="G376" s="7">
        <f>SUMIFS(Лист2!$E:$E,Лист2!$A:$A,A376,Лист2!$B:$B,B376)</f>
        <v>591</v>
      </c>
      <c r="H376">
        <f t="shared" si="10"/>
        <v>64392</v>
      </c>
      <c r="I376" s="15">
        <f t="shared" si="11"/>
        <v>19</v>
      </c>
    </row>
    <row r="377" spans="1:9" ht="14.25" customHeight="1" x14ac:dyDescent="0.2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SUMIFS(Лист2!$C:$C,Лист2!$A:$A,A377,Лист2!$B:$B,B377)</f>
        <v>18</v>
      </c>
      <c r="F377" s="7">
        <f>SUMIFS(Лист2!$D:$D,Лист2!$A:$A,A377,Лист2!$B:$B,B377)</f>
        <v>1006</v>
      </c>
      <c r="G377" s="7">
        <f>SUMIFS(Лист2!$E:$E,Лист2!$A:$A,A377,Лист2!$B:$B,B377)</f>
        <v>904</v>
      </c>
      <c r="H377">
        <f t="shared" si="10"/>
        <v>77014.583333333328</v>
      </c>
      <c r="I377" s="15">
        <f t="shared" si="11"/>
        <v>21</v>
      </c>
    </row>
    <row r="378" spans="1:9" ht="14.25" customHeight="1" x14ac:dyDescent="0.2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SUMIFS(Лист2!$C:$C,Лист2!$A:$A,A378,Лист2!$B:$B,B378)</f>
        <v>18</v>
      </c>
      <c r="F378" s="7">
        <f>SUMIFS(Лист2!$D:$D,Лист2!$A:$A,A378,Лист2!$B:$B,B378)</f>
        <v>914</v>
      </c>
      <c r="G378" s="7">
        <f>SUMIFS(Лист2!$E:$E,Лист2!$A:$A,A378,Лист2!$B:$B,B378)</f>
        <v>804</v>
      </c>
      <c r="H378">
        <f t="shared" si="10"/>
        <v>67247.583333333328</v>
      </c>
      <c r="I378" s="15">
        <f t="shared" si="11"/>
        <v>22</v>
      </c>
    </row>
    <row r="379" spans="1:9" ht="14.25" customHeight="1" x14ac:dyDescent="0.2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SUMIFS(Лист2!$C:$C,Лист2!$A:$A,A379,Лист2!$B:$B,B379)</f>
        <v>15</v>
      </c>
      <c r="F379" s="7">
        <f>SUMIFS(Лист2!$D:$D,Лист2!$A:$A,A379,Лист2!$B:$B,B379)</f>
        <v>453</v>
      </c>
      <c r="G379" s="7">
        <f>SUMIFS(Лист2!$E:$E,Лист2!$A:$A,A379,Лист2!$B:$B,B379)</f>
        <v>370</v>
      </c>
      <c r="H379">
        <f t="shared" si="10"/>
        <v>42423</v>
      </c>
      <c r="I379" s="15">
        <f t="shared" si="11"/>
        <v>23</v>
      </c>
    </row>
    <row r="380" spans="1:9" ht="14.25" customHeight="1" x14ac:dyDescent="0.2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SUMIFS(Лист2!$C:$C,Лист2!$A:$A,A380,Лист2!$B:$B,B380)</f>
        <v>9</v>
      </c>
      <c r="F380" s="7">
        <f>SUMIFS(Лист2!$D:$D,Лист2!$A:$A,A380,Лист2!$B:$B,B380)</f>
        <v>345</v>
      </c>
      <c r="G380" s="7">
        <f>SUMIFS(Лист2!$E:$E,Лист2!$A:$A,A380,Лист2!$B:$B,B380)</f>
        <v>255</v>
      </c>
      <c r="H380">
        <f t="shared" si="10"/>
        <v>54877</v>
      </c>
      <c r="I380" s="15">
        <f t="shared" si="11"/>
        <v>22</v>
      </c>
    </row>
    <row r="381" spans="1:9" ht="14.25" customHeight="1" x14ac:dyDescent="0.2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SUMIFS(Лист2!$C:$C,Лист2!$A:$A,A381,Лист2!$B:$B,B381)</f>
        <v>7</v>
      </c>
      <c r="F381" s="7">
        <f>SUMIFS(Лист2!$D:$D,Лист2!$A:$A,A381,Лист2!$B:$B,B381)</f>
        <v>532</v>
      </c>
      <c r="G381" s="7">
        <f>SUMIFS(Лист2!$E:$E,Лист2!$A:$A,A381,Лист2!$B:$B,B381)</f>
        <v>449</v>
      </c>
      <c r="H381">
        <f t="shared" si="10"/>
        <v>132667.92857142858</v>
      </c>
      <c r="I381" s="15">
        <f t="shared" si="11"/>
        <v>22</v>
      </c>
    </row>
    <row r="382" spans="1:9" ht="14.25" customHeight="1" x14ac:dyDescent="0.2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SUMIFS(Лист2!$C:$C,Лист2!$A:$A,A382,Лист2!$B:$B,B382)</f>
        <v>15</v>
      </c>
      <c r="F382" s="7">
        <f>SUMIFS(Лист2!$D:$D,Лист2!$A:$A,A382,Лист2!$B:$B,B382)</f>
        <v>400</v>
      </c>
      <c r="G382" s="7">
        <f>SUMIFS(Лист2!$E:$E,Лист2!$A:$A,A382,Лист2!$B:$B,B382)</f>
        <v>329</v>
      </c>
      <c r="H382">
        <f t="shared" si="10"/>
        <v>43415.8</v>
      </c>
      <c r="I382" s="15">
        <f t="shared" si="11"/>
        <v>22</v>
      </c>
    </row>
    <row r="383" spans="1:9" ht="14.25" customHeight="1" x14ac:dyDescent="0.2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SUMIFS(Лист2!$C:$C,Лист2!$A:$A,A383,Лист2!$B:$B,B383)</f>
        <v>7</v>
      </c>
      <c r="F383" s="7">
        <f>SUMIFS(Лист2!$D:$D,Лист2!$A:$A,A383,Лист2!$B:$B,B383)</f>
        <v>420</v>
      </c>
      <c r="G383" s="7">
        <f>SUMIFS(Лист2!$E:$E,Лист2!$A:$A,A383,Лист2!$B:$B,B383)</f>
        <v>347</v>
      </c>
      <c r="H383">
        <f t="shared" si="10"/>
        <v>99238.5</v>
      </c>
      <c r="I383" s="15">
        <f t="shared" si="11"/>
        <v>22</v>
      </c>
    </row>
    <row r="384" spans="1:9" ht="14.25" customHeight="1" x14ac:dyDescent="0.2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SUMIFS(Лист2!$C:$C,Лист2!$A:$A,A384,Лист2!$B:$B,B384)</f>
        <v>20</v>
      </c>
      <c r="F384" s="7">
        <f>SUMIFS(Лист2!$D:$D,Лист2!$A:$A,A384,Лист2!$B:$B,B384)</f>
        <v>2079</v>
      </c>
      <c r="G384" s="7">
        <f>SUMIFS(Лист2!$E:$E,Лист2!$A:$A,A384,Лист2!$B:$B,B384)</f>
        <v>1893</v>
      </c>
      <c r="H384">
        <f t="shared" si="10"/>
        <v>150787.57500000001</v>
      </c>
      <c r="I384" s="15">
        <f t="shared" si="11"/>
        <v>22</v>
      </c>
    </row>
    <row r="385" spans="1:9" ht="14.25" customHeight="1" x14ac:dyDescent="0.2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SUMIFS(Лист2!$C:$C,Лист2!$A:$A,A385,Лист2!$B:$B,B385)</f>
        <v>21</v>
      </c>
      <c r="F385" s="7">
        <f>SUMIFS(Лист2!$D:$D,Лист2!$A:$A,A385,Лист2!$B:$B,B385)</f>
        <v>2046</v>
      </c>
      <c r="G385" s="7">
        <f>SUMIFS(Лист2!$E:$E,Лист2!$A:$A,A385,Лист2!$B:$B,B385)</f>
        <v>1853</v>
      </c>
      <c r="H385">
        <f t="shared" si="10"/>
        <v>147193.78571428571</v>
      </c>
      <c r="I385" s="15">
        <f t="shared" si="11"/>
        <v>21</v>
      </c>
    </row>
    <row r="386" spans="1:9" ht="14.25" customHeight="1" x14ac:dyDescent="0.2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SUMIFS(Лист2!$C:$C,Лист2!$A:$A,A386,Лист2!$B:$B,B386)</f>
        <v>6</v>
      </c>
      <c r="F386" s="7">
        <f>SUMIFS(Лист2!$D:$D,Лист2!$A:$A,A386,Лист2!$B:$B,B386)</f>
        <v>261</v>
      </c>
      <c r="G386" s="7">
        <f>SUMIFS(Лист2!$E:$E,Лист2!$A:$A,A386,Лист2!$B:$B,B386)</f>
        <v>188</v>
      </c>
      <c r="H386">
        <f t="shared" si="10"/>
        <v>78139.25</v>
      </c>
      <c r="I386" s="15">
        <f t="shared" si="11"/>
        <v>22</v>
      </c>
    </row>
    <row r="387" spans="1:9" ht="14.25" customHeight="1" x14ac:dyDescent="0.2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SUMIFS(Лист2!$C:$C,Лист2!$A:$A,A387,Лист2!$B:$B,B387)</f>
        <v>21</v>
      </c>
      <c r="F387" s="7">
        <f>SUMIFS(Лист2!$D:$D,Лист2!$A:$A,A387,Лист2!$B:$B,B387)</f>
        <v>1597</v>
      </c>
      <c r="G387" s="7">
        <f>SUMIFS(Лист2!$E:$E,Лист2!$A:$A,A387,Лист2!$B:$B,B387)</f>
        <v>1457</v>
      </c>
      <c r="H387">
        <f t="shared" ref="H387:H450" si="12">D387/E387</f>
        <v>118066.5</v>
      </c>
      <c r="I387" s="15">
        <f t="shared" ref="I387:I450" si="13">WEEKNUM(A387,2)</f>
        <v>20</v>
      </c>
    </row>
    <row r="388" spans="1:9" ht="14.25" customHeight="1" x14ac:dyDescent="0.2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SUMIFS(Лист2!$C:$C,Лист2!$A:$A,A388,Лист2!$B:$B,B388)</f>
        <v>18</v>
      </c>
      <c r="F388" s="7">
        <f>SUMIFS(Лист2!$D:$D,Лист2!$A:$A,A388,Лист2!$B:$B,B388)</f>
        <v>1216</v>
      </c>
      <c r="G388" s="7">
        <f>SUMIFS(Лист2!$E:$E,Лист2!$A:$A,A388,Лист2!$B:$B,B388)</f>
        <v>1101</v>
      </c>
      <c r="H388">
        <f t="shared" si="12"/>
        <v>98508.583333333328</v>
      </c>
      <c r="I388" s="15">
        <f t="shared" si="13"/>
        <v>22</v>
      </c>
    </row>
    <row r="389" spans="1:9" ht="14.25" customHeight="1" x14ac:dyDescent="0.2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SUMIFS(Лист2!$C:$C,Лист2!$A:$A,A389,Лист2!$B:$B,B389)</f>
        <v>18</v>
      </c>
      <c r="F389" s="7">
        <f>SUMIFS(Лист2!$D:$D,Лист2!$A:$A,A389,Лист2!$B:$B,B389)</f>
        <v>1020</v>
      </c>
      <c r="G389" s="7">
        <f>SUMIFS(Лист2!$E:$E,Лист2!$A:$A,A389,Лист2!$B:$B,B389)</f>
        <v>911</v>
      </c>
      <c r="H389">
        <f t="shared" si="12"/>
        <v>77080.166666666672</v>
      </c>
      <c r="I389" s="15">
        <f t="shared" si="13"/>
        <v>22</v>
      </c>
    </row>
    <row r="390" spans="1:9" ht="14.25" customHeight="1" x14ac:dyDescent="0.2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SUMIFS(Лист2!$C:$C,Лист2!$A:$A,A390,Лист2!$B:$B,B390)</f>
        <v>21</v>
      </c>
      <c r="F390" s="7">
        <f>SUMIFS(Лист2!$D:$D,Лист2!$A:$A,A390,Лист2!$B:$B,B390)</f>
        <v>1834</v>
      </c>
      <c r="G390" s="7">
        <f>SUMIFS(Лист2!$E:$E,Лист2!$A:$A,A390,Лист2!$B:$B,B390)</f>
        <v>1660</v>
      </c>
      <c r="H390">
        <f t="shared" si="12"/>
        <v>134589.5</v>
      </c>
      <c r="I390" s="15">
        <f t="shared" si="13"/>
        <v>21</v>
      </c>
    </row>
    <row r="391" spans="1:9" ht="14.25" customHeight="1" x14ac:dyDescent="0.2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SUMIFS(Лист2!$C:$C,Лист2!$A:$A,A391,Лист2!$B:$B,B391)</f>
        <v>21</v>
      </c>
      <c r="F391" s="7">
        <f>SUMIFS(Лист2!$D:$D,Лист2!$A:$A,A391,Лист2!$B:$B,B391)</f>
        <v>1706</v>
      </c>
      <c r="G391" s="7">
        <f>SUMIFS(Лист2!$E:$E,Лист2!$A:$A,A391,Лист2!$B:$B,B391)</f>
        <v>1548</v>
      </c>
      <c r="H391">
        <f t="shared" si="12"/>
        <v>128720.57142857143</v>
      </c>
      <c r="I391" s="15">
        <f t="shared" si="13"/>
        <v>20</v>
      </c>
    </row>
    <row r="392" spans="1:9" ht="14.25" customHeight="1" x14ac:dyDescent="0.2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SUMIFS(Лист2!$C:$C,Лист2!$A:$A,A392,Лист2!$B:$B,B392)</f>
        <v>21</v>
      </c>
      <c r="F392" s="7">
        <f>SUMIFS(Лист2!$D:$D,Лист2!$A:$A,A392,Лист2!$B:$B,B392)</f>
        <v>1926</v>
      </c>
      <c r="G392" s="7">
        <f>SUMIFS(Лист2!$E:$E,Лист2!$A:$A,A392,Лист2!$B:$B,B392)</f>
        <v>1742</v>
      </c>
      <c r="H392">
        <f t="shared" si="12"/>
        <v>144680.64285714287</v>
      </c>
      <c r="I392" s="15">
        <f t="shared" si="13"/>
        <v>20</v>
      </c>
    </row>
    <row r="393" spans="1:9" ht="14.25" customHeight="1" x14ac:dyDescent="0.2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SUMIFS(Лист2!$C:$C,Лист2!$A:$A,A393,Лист2!$B:$B,B393)</f>
        <v>21</v>
      </c>
      <c r="F393" s="7">
        <f>SUMIFS(Лист2!$D:$D,Лист2!$A:$A,A393,Лист2!$B:$B,B393)</f>
        <v>2025</v>
      </c>
      <c r="G393" s="7">
        <f>SUMIFS(Лист2!$E:$E,Лист2!$A:$A,A393,Лист2!$B:$B,B393)</f>
        <v>1849</v>
      </c>
      <c r="H393">
        <f t="shared" si="12"/>
        <v>140239.78571428571</v>
      </c>
      <c r="I393" s="15">
        <f t="shared" si="13"/>
        <v>23</v>
      </c>
    </row>
    <row r="394" spans="1:9" ht="14.25" customHeight="1" x14ac:dyDescent="0.2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SUMIFS(Лист2!$C:$C,Лист2!$A:$A,A394,Лист2!$B:$B,B394)</f>
        <v>7</v>
      </c>
      <c r="F394" s="7">
        <f>SUMIFS(Лист2!$D:$D,Лист2!$A:$A,A394,Лист2!$B:$B,B394)</f>
        <v>530</v>
      </c>
      <c r="G394" s="7">
        <f>SUMIFS(Лист2!$E:$E,Лист2!$A:$A,A394,Лист2!$B:$B,B394)</f>
        <v>447</v>
      </c>
      <c r="H394">
        <f t="shared" si="12"/>
        <v>123717.64285714286</v>
      </c>
      <c r="I394" s="15">
        <f t="shared" si="13"/>
        <v>22</v>
      </c>
    </row>
    <row r="395" spans="1:9" ht="14.25" customHeight="1" x14ac:dyDescent="0.2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SUMIFS(Лист2!$C:$C,Лист2!$A:$A,A395,Лист2!$B:$B,B395)</f>
        <v>20</v>
      </c>
      <c r="F395" s="7">
        <f>SUMIFS(Лист2!$D:$D,Лист2!$A:$A,A395,Лист2!$B:$B,B395)</f>
        <v>2111</v>
      </c>
      <c r="G395" s="7">
        <f>SUMIFS(Лист2!$E:$E,Лист2!$A:$A,A395,Лист2!$B:$B,B395)</f>
        <v>1917</v>
      </c>
      <c r="H395">
        <f t="shared" si="12"/>
        <v>159658.35</v>
      </c>
      <c r="I395" s="15">
        <f t="shared" si="13"/>
        <v>22</v>
      </c>
    </row>
    <row r="396" spans="1:9" ht="14.25" customHeight="1" x14ac:dyDescent="0.2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SUMIFS(Лист2!$C:$C,Лист2!$A:$A,A396,Лист2!$B:$B,B396)</f>
        <v>31</v>
      </c>
      <c r="F396" s="7">
        <f>SUMIFS(Лист2!$D:$D,Лист2!$A:$A,A396,Лист2!$B:$B,B396)</f>
        <v>5330</v>
      </c>
      <c r="G396" s="7">
        <f>SUMIFS(Лист2!$E:$E,Лист2!$A:$A,A396,Лист2!$B:$B,B396)</f>
        <v>4977</v>
      </c>
      <c r="H396">
        <f t="shared" si="12"/>
        <v>216163.98387096773</v>
      </c>
      <c r="I396" s="15">
        <f t="shared" si="13"/>
        <v>22</v>
      </c>
    </row>
    <row r="397" spans="1:9" ht="14.25" customHeight="1" x14ac:dyDescent="0.2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SUMIFS(Лист2!$C:$C,Лист2!$A:$A,A397,Лист2!$B:$B,B397)</f>
        <v>31</v>
      </c>
      <c r="F397" s="7">
        <f>SUMIFS(Лист2!$D:$D,Лист2!$A:$A,A397,Лист2!$B:$B,B397)</f>
        <v>5965</v>
      </c>
      <c r="G397" s="7">
        <f>SUMIFS(Лист2!$E:$E,Лист2!$A:$A,A397,Лист2!$B:$B,B397)</f>
        <v>5533</v>
      </c>
      <c r="H397">
        <f t="shared" si="12"/>
        <v>249305.32258064515</v>
      </c>
      <c r="I397" s="15">
        <f t="shared" si="13"/>
        <v>21</v>
      </c>
    </row>
    <row r="398" spans="1:9" ht="14.25" customHeight="1" x14ac:dyDescent="0.2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SUMIFS(Лист2!$C:$C,Лист2!$A:$A,A398,Лист2!$B:$B,B398)</f>
        <v>31</v>
      </c>
      <c r="F398" s="7">
        <f>SUMIFS(Лист2!$D:$D,Лист2!$A:$A,A398,Лист2!$B:$B,B398)</f>
        <v>5468</v>
      </c>
      <c r="G398" s="7">
        <f>SUMIFS(Лист2!$E:$E,Лист2!$A:$A,A398,Лист2!$B:$B,B398)</f>
        <v>5081</v>
      </c>
      <c r="H398">
        <f t="shared" si="12"/>
        <v>220320.04838709679</v>
      </c>
      <c r="I398" s="15">
        <f t="shared" si="13"/>
        <v>23</v>
      </c>
    </row>
    <row r="399" spans="1:9" ht="14.25" customHeight="1" x14ac:dyDescent="0.2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SUMIFS(Лист2!$C:$C,Лист2!$A:$A,A399,Лист2!$B:$B,B399)</f>
        <v>18</v>
      </c>
      <c r="F399" s="7">
        <f>SUMIFS(Лист2!$D:$D,Лист2!$A:$A,A399,Лист2!$B:$B,B399)</f>
        <v>1029</v>
      </c>
      <c r="G399" s="7">
        <f>SUMIFS(Лист2!$E:$E,Лист2!$A:$A,A399,Лист2!$B:$B,B399)</f>
        <v>925</v>
      </c>
      <c r="H399">
        <f t="shared" si="12"/>
        <v>79078.333333333328</v>
      </c>
      <c r="I399" s="15">
        <f t="shared" si="13"/>
        <v>22</v>
      </c>
    </row>
    <row r="400" spans="1:9" ht="14.25" customHeight="1" x14ac:dyDescent="0.2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SUMIFS(Лист2!$C:$C,Лист2!$A:$A,A400,Лист2!$B:$B,B400)</f>
        <v>31</v>
      </c>
      <c r="F400" s="7">
        <f>SUMIFS(Лист2!$D:$D,Лист2!$A:$A,A400,Лист2!$B:$B,B400)</f>
        <v>4826</v>
      </c>
      <c r="G400" s="7">
        <f>SUMIFS(Лист2!$E:$E,Лист2!$A:$A,A400,Лист2!$B:$B,B400)</f>
        <v>4483</v>
      </c>
      <c r="H400">
        <f t="shared" si="12"/>
        <v>206410.30645161291</v>
      </c>
      <c r="I400" s="15">
        <f t="shared" si="13"/>
        <v>20</v>
      </c>
    </row>
    <row r="401" spans="1:9" ht="14.25" customHeight="1" x14ac:dyDescent="0.2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SUMIFS(Лист2!$C:$C,Лист2!$A:$A,A401,Лист2!$B:$B,B401)</f>
        <v>31</v>
      </c>
      <c r="F401" s="7">
        <f>SUMIFS(Лист2!$D:$D,Лист2!$A:$A,A401,Лист2!$B:$B,B401)</f>
        <v>5165</v>
      </c>
      <c r="G401" s="7">
        <f>SUMIFS(Лист2!$E:$E,Лист2!$A:$A,A401,Лист2!$B:$B,B401)</f>
        <v>4813</v>
      </c>
      <c r="H401">
        <f t="shared" si="12"/>
        <v>213216.5806451613</v>
      </c>
      <c r="I401" s="15">
        <f t="shared" si="13"/>
        <v>21</v>
      </c>
    </row>
    <row r="402" spans="1:9" ht="14.25" customHeight="1" x14ac:dyDescent="0.2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SUMIFS(Лист2!$C:$C,Лист2!$A:$A,A402,Лист2!$B:$B,B402)</f>
        <v>31</v>
      </c>
      <c r="F402" s="7">
        <f>SUMIFS(Лист2!$D:$D,Лист2!$A:$A,A402,Лист2!$B:$B,B402)</f>
        <v>4695</v>
      </c>
      <c r="G402" s="7">
        <f>SUMIFS(Лист2!$E:$E,Лист2!$A:$A,A402,Лист2!$B:$B,B402)</f>
        <v>4372</v>
      </c>
      <c r="H402">
        <f t="shared" si="12"/>
        <v>195279</v>
      </c>
      <c r="I402" s="15">
        <f t="shared" si="13"/>
        <v>20</v>
      </c>
    </row>
    <row r="403" spans="1:9" ht="14.25" customHeight="1" x14ac:dyDescent="0.2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SUMIFS(Лист2!$C:$C,Лист2!$A:$A,A403,Лист2!$B:$B,B403)</f>
        <v>31</v>
      </c>
      <c r="F403" s="7">
        <f>SUMIFS(Лист2!$D:$D,Лист2!$A:$A,A403,Лист2!$B:$B,B403)</f>
        <v>5184</v>
      </c>
      <c r="G403" s="7">
        <f>SUMIFS(Лист2!$E:$E,Лист2!$A:$A,A403,Лист2!$B:$B,B403)</f>
        <v>4778</v>
      </c>
      <c r="H403">
        <f t="shared" si="12"/>
        <v>221821.11290322582</v>
      </c>
      <c r="I403" s="15">
        <f t="shared" si="13"/>
        <v>20</v>
      </c>
    </row>
    <row r="404" spans="1:9" ht="14.25" customHeight="1" x14ac:dyDescent="0.2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SUMIFS(Лист2!$C:$C,Лист2!$A:$A,A404,Лист2!$B:$B,B404)</f>
        <v>10</v>
      </c>
      <c r="F404" s="7">
        <f>SUMIFS(Лист2!$D:$D,Лист2!$A:$A,A404,Лист2!$B:$B,B404)</f>
        <v>757</v>
      </c>
      <c r="G404" s="7">
        <f>SUMIFS(Лист2!$E:$E,Лист2!$A:$A,A404,Лист2!$B:$B,B404)</f>
        <v>660</v>
      </c>
      <c r="H404">
        <f t="shared" si="12"/>
        <v>105479.85</v>
      </c>
      <c r="I404" s="15">
        <f t="shared" si="13"/>
        <v>22</v>
      </c>
    </row>
    <row r="405" spans="1:9" ht="14.25" customHeight="1" x14ac:dyDescent="0.2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SUMIFS(Лист2!$C:$C,Лист2!$A:$A,A405,Лист2!$B:$B,B405)</f>
        <v>10</v>
      </c>
      <c r="F405" s="7">
        <f>SUMIFS(Лист2!$D:$D,Лист2!$A:$A,A405,Лист2!$B:$B,B405)</f>
        <v>965</v>
      </c>
      <c r="G405" s="7">
        <f>SUMIFS(Лист2!$E:$E,Лист2!$A:$A,A405,Лист2!$B:$B,B405)</f>
        <v>861</v>
      </c>
      <c r="H405">
        <f t="shared" si="12"/>
        <v>145504.95000000001</v>
      </c>
      <c r="I405" s="15">
        <f t="shared" si="13"/>
        <v>21</v>
      </c>
    </row>
    <row r="406" spans="1:9" ht="14.25" customHeight="1" x14ac:dyDescent="0.2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SUMIFS(Лист2!$C:$C,Лист2!$A:$A,A406,Лист2!$B:$B,B406)</f>
        <v>10</v>
      </c>
      <c r="F406" s="7">
        <f>SUMIFS(Лист2!$D:$D,Лист2!$A:$A,A406,Лист2!$B:$B,B406)</f>
        <v>719</v>
      </c>
      <c r="G406" s="7">
        <f>SUMIFS(Лист2!$E:$E,Лист2!$A:$A,A406,Лист2!$B:$B,B406)</f>
        <v>627</v>
      </c>
      <c r="H406">
        <f t="shared" si="12"/>
        <v>100774.2</v>
      </c>
      <c r="I406" s="15">
        <f t="shared" si="13"/>
        <v>23</v>
      </c>
    </row>
    <row r="407" spans="1:9" ht="14.25" customHeight="1" x14ac:dyDescent="0.2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SUMIFS(Лист2!$C:$C,Лист2!$A:$A,A407,Лист2!$B:$B,B407)</f>
        <v>10</v>
      </c>
      <c r="F407" s="7">
        <f>SUMIFS(Лист2!$D:$D,Лист2!$A:$A,A407,Лист2!$B:$B,B407)</f>
        <v>494</v>
      </c>
      <c r="G407" s="7">
        <f>SUMIFS(Лист2!$E:$E,Лист2!$A:$A,A407,Лист2!$B:$B,B407)</f>
        <v>421</v>
      </c>
      <c r="H407">
        <f t="shared" si="12"/>
        <v>73433.55</v>
      </c>
      <c r="I407" s="15">
        <f t="shared" si="13"/>
        <v>20</v>
      </c>
    </row>
    <row r="408" spans="1:9" ht="14.25" customHeight="1" x14ac:dyDescent="0.2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SUMIFS(Лист2!$C:$C,Лист2!$A:$A,A408,Лист2!$B:$B,B408)</f>
        <v>31</v>
      </c>
      <c r="F408" s="7">
        <f>SUMIFS(Лист2!$D:$D,Лист2!$A:$A,A408,Лист2!$B:$B,B408)</f>
        <v>5751</v>
      </c>
      <c r="G408" s="7">
        <f>SUMIFS(Лист2!$E:$E,Лист2!$A:$A,A408,Лист2!$B:$B,B408)</f>
        <v>5319</v>
      </c>
      <c r="H408">
        <f t="shared" si="12"/>
        <v>238294.06451612903</v>
      </c>
      <c r="I408" s="15">
        <f t="shared" si="13"/>
        <v>22</v>
      </c>
    </row>
    <row r="409" spans="1:9" ht="14.25" customHeight="1" x14ac:dyDescent="0.2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SUMIFS(Лист2!$C:$C,Лист2!$A:$A,A409,Лист2!$B:$B,B409)</f>
        <v>10</v>
      </c>
      <c r="F409" s="7">
        <f>SUMIFS(Лист2!$D:$D,Лист2!$A:$A,A409,Лист2!$B:$B,B409)</f>
        <v>645</v>
      </c>
      <c r="G409" s="7">
        <f>SUMIFS(Лист2!$E:$E,Лист2!$A:$A,A409,Лист2!$B:$B,B409)</f>
        <v>565</v>
      </c>
      <c r="H409">
        <f t="shared" si="12"/>
        <v>93642.75</v>
      </c>
      <c r="I409" s="15">
        <f t="shared" si="13"/>
        <v>21</v>
      </c>
    </row>
    <row r="410" spans="1:9" ht="14.25" customHeight="1" x14ac:dyDescent="0.2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SUMIFS(Лист2!$C:$C,Лист2!$A:$A,A410,Лист2!$B:$B,B410)</f>
        <v>10</v>
      </c>
      <c r="F410" s="7">
        <f>SUMIFS(Лист2!$D:$D,Лист2!$A:$A,A410,Лист2!$B:$B,B410)</f>
        <v>627</v>
      </c>
      <c r="G410" s="7">
        <f>SUMIFS(Лист2!$E:$E,Лист2!$A:$A,A410,Лист2!$B:$B,B410)</f>
        <v>545</v>
      </c>
      <c r="H410">
        <f t="shared" si="12"/>
        <v>98156.4</v>
      </c>
      <c r="I410" s="15">
        <f t="shared" si="13"/>
        <v>20</v>
      </c>
    </row>
    <row r="411" spans="1:9" ht="14.25" customHeight="1" x14ac:dyDescent="0.2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SUMIFS(Лист2!$C:$C,Лист2!$A:$A,A411,Лист2!$B:$B,B411)</f>
        <v>10</v>
      </c>
      <c r="F411" s="7">
        <f>SUMIFS(Лист2!$D:$D,Лист2!$A:$A,A411,Лист2!$B:$B,B411)</f>
        <v>743</v>
      </c>
      <c r="G411" s="7">
        <f>SUMIFS(Лист2!$E:$E,Лист2!$A:$A,A411,Лист2!$B:$B,B411)</f>
        <v>652</v>
      </c>
      <c r="H411">
        <f t="shared" si="12"/>
        <v>115057.95</v>
      </c>
      <c r="I411" s="15">
        <f t="shared" si="13"/>
        <v>20</v>
      </c>
    </row>
    <row r="412" spans="1:9" ht="14.25" customHeight="1" x14ac:dyDescent="0.2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SUMIFS(Лист2!$C:$C,Лист2!$A:$A,A412,Лист2!$B:$B,B412)</f>
        <v>10</v>
      </c>
      <c r="F412" s="7">
        <f>SUMIFS(Лист2!$D:$D,Лист2!$A:$A,A412,Лист2!$B:$B,B412)</f>
        <v>873</v>
      </c>
      <c r="G412" s="7">
        <f>SUMIFS(Лист2!$E:$E,Лист2!$A:$A,A412,Лист2!$B:$B,B412)</f>
        <v>770</v>
      </c>
      <c r="H412">
        <f t="shared" si="12"/>
        <v>127346.4</v>
      </c>
      <c r="I412" s="15">
        <f t="shared" si="13"/>
        <v>22</v>
      </c>
    </row>
    <row r="413" spans="1:9" ht="14.25" customHeight="1" x14ac:dyDescent="0.2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SUMIFS(Лист2!$C:$C,Лист2!$A:$A,A413,Лист2!$B:$B,B413)</f>
        <v>20</v>
      </c>
      <c r="F413" s="7">
        <f>SUMIFS(Лист2!$D:$D,Лист2!$A:$A,A413,Лист2!$B:$B,B413)</f>
        <v>2079</v>
      </c>
      <c r="G413" s="7">
        <f>SUMIFS(Лист2!$E:$E,Лист2!$A:$A,A413,Лист2!$B:$B,B413)</f>
        <v>1856</v>
      </c>
      <c r="H413">
        <f t="shared" si="12"/>
        <v>146206.65</v>
      </c>
      <c r="I413" s="15">
        <f t="shared" si="13"/>
        <v>22</v>
      </c>
    </row>
    <row r="414" spans="1:9" ht="14.25" customHeight="1" x14ac:dyDescent="0.2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SUMIFS(Лист2!$C:$C,Лист2!$A:$A,A414,Лист2!$B:$B,B414)</f>
        <v>20</v>
      </c>
      <c r="F414" s="7">
        <f>SUMIFS(Лист2!$D:$D,Лист2!$A:$A,A414,Лист2!$B:$B,B414)</f>
        <v>2306</v>
      </c>
      <c r="G414" s="7">
        <f>SUMIFS(Лист2!$E:$E,Лист2!$A:$A,A414,Лист2!$B:$B,B414)</f>
        <v>2054</v>
      </c>
      <c r="H414">
        <f t="shared" si="12"/>
        <v>170709</v>
      </c>
      <c r="I414" s="15">
        <f t="shared" si="13"/>
        <v>21</v>
      </c>
    </row>
    <row r="415" spans="1:9" ht="14.25" customHeight="1" x14ac:dyDescent="0.2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SUMIFS(Лист2!$C:$C,Лист2!$A:$A,A415,Лист2!$B:$B,B415)</f>
        <v>20</v>
      </c>
      <c r="F415" s="7">
        <f>SUMIFS(Лист2!$D:$D,Лист2!$A:$A,A415,Лист2!$B:$B,B415)</f>
        <v>2136</v>
      </c>
      <c r="G415" s="7">
        <f>SUMIFS(Лист2!$E:$E,Лист2!$A:$A,A415,Лист2!$B:$B,B415)</f>
        <v>1899</v>
      </c>
      <c r="H415">
        <f t="shared" si="12"/>
        <v>150675.6</v>
      </c>
      <c r="I415" s="15">
        <f t="shared" si="13"/>
        <v>23</v>
      </c>
    </row>
    <row r="416" spans="1:9" ht="14.25" customHeight="1" x14ac:dyDescent="0.2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SUMIFS(Лист2!$C:$C,Лист2!$A:$A,A416,Лист2!$B:$B,B416)</f>
        <v>19</v>
      </c>
      <c r="F416" s="7">
        <f>SUMIFS(Лист2!$D:$D,Лист2!$A:$A,A416,Лист2!$B:$B,B416)</f>
        <v>2530</v>
      </c>
      <c r="G416" s="7">
        <f>SUMIFS(Лист2!$E:$E,Лист2!$A:$A,A416,Лист2!$B:$B,B416)</f>
        <v>2270</v>
      </c>
      <c r="H416">
        <f t="shared" si="12"/>
        <v>205893.63157894736</v>
      </c>
      <c r="I416" s="15">
        <f t="shared" si="13"/>
        <v>20</v>
      </c>
    </row>
    <row r="417" spans="1:9" ht="14.25" customHeight="1" x14ac:dyDescent="0.2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SUMIFS(Лист2!$C:$C,Лист2!$A:$A,A417,Лист2!$B:$B,B417)</f>
        <v>19</v>
      </c>
      <c r="F417" s="7">
        <f>SUMIFS(Лист2!$D:$D,Лист2!$A:$A,A417,Лист2!$B:$B,B417)</f>
        <v>1858</v>
      </c>
      <c r="G417" s="7">
        <f>SUMIFS(Лист2!$E:$E,Лист2!$A:$A,A417,Лист2!$B:$B,B417)</f>
        <v>1648</v>
      </c>
      <c r="H417">
        <f t="shared" si="12"/>
        <v>136218.31578947368</v>
      </c>
      <c r="I417" s="15">
        <f t="shared" si="13"/>
        <v>21</v>
      </c>
    </row>
    <row r="418" spans="1:9" ht="14.25" customHeight="1" x14ac:dyDescent="0.2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SUMIFS(Лист2!$C:$C,Лист2!$A:$A,A418,Лист2!$B:$B,B418)</f>
        <v>19</v>
      </c>
      <c r="F418" s="7">
        <f>SUMIFS(Лист2!$D:$D,Лист2!$A:$A,A418,Лист2!$B:$B,B418)</f>
        <v>1675</v>
      </c>
      <c r="G418" s="7">
        <f>SUMIFS(Лист2!$E:$E,Лист2!$A:$A,A418,Лист2!$B:$B,B418)</f>
        <v>1475</v>
      </c>
      <c r="H418">
        <f t="shared" si="12"/>
        <v>128501.05263157895</v>
      </c>
      <c r="I418" s="15">
        <f t="shared" si="13"/>
        <v>20</v>
      </c>
    </row>
    <row r="419" spans="1:9" ht="14.25" customHeight="1" x14ac:dyDescent="0.2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SUMIFS(Лист2!$C:$C,Лист2!$A:$A,A419,Лист2!$B:$B,B419)</f>
        <v>19</v>
      </c>
      <c r="F419" s="7">
        <f>SUMIFS(Лист2!$D:$D,Лист2!$A:$A,A419,Лист2!$B:$B,B419)</f>
        <v>1940</v>
      </c>
      <c r="G419" s="7">
        <f>SUMIFS(Лист2!$E:$E,Лист2!$A:$A,A419,Лист2!$B:$B,B419)</f>
        <v>1715</v>
      </c>
      <c r="H419">
        <f t="shared" si="12"/>
        <v>155214.63157894736</v>
      </c>
      <c r="I419" s="15">
        <f t="shared" si="13"/>
        <v>20</v>
      </c>
    </row>
    <row r="420" spans="1:9" ht="14.25" customHeight="1" x14ac:dyDescent="0.2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SUMIFS(Лист2!$C:$C,Лист2!$A:$A,A420,Лист2!$B:$B,B420)</f>
        <v>20</v>
      </c>
      <c r="F420" s="7">
        <f>SUMIFS(Лист2!$D:$D,Лист2!$A:$A,A420,Лист2!$B:$B,B420)</f>
        <v>2249</v>
      </c>
      <c r="G420" s="7">
        <f>SUMIFS(Лист2!$E:$E,Лист2!$A:$A,A420,Лист2!$B:$B,B420)</f>
        <v>2000</v>
      </c>
      <c r="H420">
        <f t="shared" si="12"/>
        <v>162902.70000000001</v>
      </c>
      <c r="I420" s="15">
        <f t="shared" si="13"/>
        <v>22</v>
      </c>
    </row>
    <row r="421" spans="1:9" ht="14.25" customHeight="1" x14ac:dyDescent="0.2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SUMIFS(Лист2!$C:$C,Лист2!$A:$A,A421,Лист2!$B:$B,B421)</f>
        <v>129</v>
      </c>
      <c r="F421" s="7">
        <f>SUMIFS(Лист2!$D:$D,Лист2!$A:$A,A421,Лист2!$B:$B,B421)</f>
        <v>17115</v>
      </c>
      <c r="G421" s="7">
        <f>SUMIFS(Лист2!$E:$E,Лист2!$A:$A,A421,Лист2!$B:$B,B421)</f>
        <v>15962</v>
      </c>
      <c r="H421">
        <f t="shared" si="12"/>
        <v>226798.39534883722</v>
      </c>
      <c r="I421" s="15">
        <f t="shared" si="13"/>
        <v>22</v>
      </c>
    </row>
    <row r="422" spans="1:9" ht="14.25" customHeight="1" x14ac:dyDescent="0.2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SUMIFS(Лист2!$C:$C,Лист2!$A:$A,A422,Лист2!$B:$B,B422)</f>
        <v>129</v>
      </c>
      <c r="F422" s="7">
        <f>SUMIFS(Лист2!$D:$D,Лист2!$A:$A,A422,Лист2!$B:$B,B422)</f>
        <v>17088</v>
      </c>
      <c r="G422" s="7">
        <f>SUMIFS(Лист2!$E:$E,Лист2!$A:$A,A422,Лист2!$B:$B,B422)</f>
        <v>15804</v>
      </c>
      <c r="H422">
        <f t="shared" si="12"/>
        <v>228416.81395348837</v>
      </c>
      <c r="I422" s="15">
        <f t="shared" si="13"/>
        <v>21</v>
      </c>
    </row>
    <row r="423" spans="1:9" ht="14.25" customHeight="1" x14ac:dyDescent="0.2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SUMIFS(Лист2!$C:$C,Лист2!$A:$A,A423,Лист2!$B:$B,B423)</f>
        <v>128</v>
      </c>
      <c r="F423" s="7">
        <f>SUMIFS(Лист2!$D:$D,Лист2!$A:$A,A423,Лист2!$B:$B,B423)</f>
        <v>16285</v>
      </c>
      <c r="G423" s="7">
        <f>SUMIFS(Лист2!$E:$E,Лист2!$A:$A,A423,Лист2!$B:$B,B423)</f>
        <v>15130</v>
      </c>
      <c r="H423">
        <f t="shared" si="12"/>
        <v>216953.84765625</v>
      </c>
      <c r="I423" s="15">
        <f t="shared" si="13"/>
        <v>23</v>
      </c>
    </row>
    <row r="424" spans="1:9" ht="14.25" customHeight="1" x14ac:dyDescent="0.2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SUMIFS(Лист2!$C:$C,Лист2!$A:$A,A424,Лист2!$B:$B,B424)</f>
        <v>129</v>
      </c>
      <c r="F424" s="7">
        <f>SUMIFS(Лист2!$D:$D,Лист2!$A:$A,A424,Лист2!$B:$B,B424)</f>
        <v>14043</v>
      </c>
      <c r="G424" s="7">
        <f>SUMIFS(Лист2!$E:$E,Лист2!$A:$A,A424,Лист2!$B:$B,B424)</f>
        <v>13167</v>
      </c>
      <c r="H424">
        <f t="shared" si="12"/>
        <v>190916.53661976743</v>
      </c>
      <c r="I424" s="15">
        <f t="shared" si="13"/>
        <v>20</v>
      </c>
    </row>
    <row r="425" spans="1:9" ht="14.25" customHeight="1" x14ac:dyDescent="0.2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SUMIFS(Лист2!$C:$C,Лист2!$A:$A,A425,Лист2!$B:$B,B425)</f>
        <v>129</v>
      </c>
      <c r="F425" s="7">
        <f>SUMIFS(Лист2!$D:$D,Лист2!$A:$A,A425,Лист2!$B:$B,B425)</f>
        <v>16110</v>
      </c>
      <c r="G425" s="7">
        <f>SUMIFS(Лист2!$E:$E,Лист2!$A:$A,A425,Лист2!$B:$B,B425)</f>
        <v>14992</v>
      </c>
      <c r="H425">
        <f t="shared" si="12"/>
        <v>213451.81509767444</v>
      </c>
      <c r="I425" s="15">
        <f t="shared" si="13"/>
        <v>21</v>
      </c>
    </row>
    <row r="426" spans="1:9" ht="14.25" customHeight="1" x14ac:dyDescent="0.2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SUMIFS(Лист2!$C:$C,Лист2!$A:$A,A426,Лист2!$B:$B,B426)</f>
        <v>129</v>
      </c>
      <c r="F426" s="7">
        <f>SUMIFS(Лист2!$D:$D,Лист2!$A:$A,A426,Лист2!$B:$B,B426)</f>
        <v>15804</v>
      </c>
      <c r="G426" s="7">
        <f>SUMIFS(Лист2!$E:$E,Лист2!$A:$A,A426,Лист2!$B:$B,B426)</f>
        <v>14738</v>
      </c>
      <c r="H426">
        <f t="shared" si="12"/>
        <v>218459.62790697673</v>
      </c>
      <c r="I426" s="15">
        <f t="shared" si="13"/>
        <v>20</v>
      </c>
    </row>
    <row r="427" spans="1:9" ht="14.25" customHeight="1" x14ac:dyDescent="0.2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SUMIFS(Лист2!$C:$C,Лист2!$A:$A,A427,Лист2!$B:$B,B427)</f>
        <v>129</v>
      </c>
      <c r="F427" s="7">
        <f>SUMIFS(Лист2!$D:$D,Лист2!$A:$A,A427,Лист2!$B:$B,B427)</f>
        <v>17808</v>
      </c>
      <c r="G427" s="7">
        <f>SUMIFS(Лист2!$E:$E,Лист2!$A:$A,A427,Лист2!$B:$B,B427)</f>
        <v>16486</v>
      </c>
      <c r="H427">
        <f t="shared" si="12"/>
        <v>250808.76744186046</v>
      </c>
      <c r="I427" s="15">
        <f t="shared" si="13"/>
        <v>20</v>
      </c>
    </row>
    <row r="428" spans="1:9" ht="14.25" customHeight="1" x14ac:dyDescent="0.2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SUMIFS(Лист2!$C:$C,Лист2!$A:$A,A428,Лист2!$B:$B,B428)</f>
        <v>124</v>
      </c>
      <c r="F428" s="7">
        <f>SUMIFS(Лист2!$D:$D,Лист2!$A:$A,A428,Лист2!$B:$B,B428)</f>
        <v>21384</v>
      </c>
      <c r="G428" s="7">
        <f>SUMIFS(Лист2!$E:$E,Лист2!$A:$A,A428,Лист2!$B:$B,B428)</f>
        <v>19897</v>
      </c>
      <c r="H428">
        <f t="shared" si="12"/>
        <v>314797.2701612903</v>
      </c>
      <c r="I428" s="15">
        <f t="shared" si="13"/>
        <v>22</v>
      </c>
    </row>
    <row r="429" spans="1:9" ht="14.25" customHeight="1" x14ac:dyDescent="0.2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SUMIFS(Лист2!$C:$C,Лист2!$A:$A,A429,Лист2!$B:$B,B429)</f>
        <v>125</v>
      </c>
      <c r="F429" s="7">
        <f>SUMIFS(Лист2!$D:$D,Лист2!$A:$A,A429,Лист2!$B:$B,B429)</f>
        <v>21427</v>
      </c>
      <c r="G429" s="7">
        <f>SUMIFS(Лист2!$E:$E,Лист2!$A:$A,A429,Лист2!$B:$B,B429)</f>
        <v>19799</v>
      </c>
      <c r="H429">
        <f t="shared" si="12"/>
        <v>315986.98800000001</v>
      </c>
      <c r="I429" s="15">
        <f t="shared" si="13"/>
        <v>21</v>
      </c>
    </row>
    <row r="430" spans="1:9" ht="14.25" customHeight="1" x14ac:dyDescent="0.2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SUMIFS(Лист2!$C:$C,Лист2!$A:$A,A430,Лист2!$B:$B,B430)</f>
        <v>123</v>
      </c>
      <c r="F430" s="7">
        <f>SUMIFS(Лист2!$D:$D,Лист2!$A:$A,A430,Лист2!$B:$B,B430)</f>
        <v>20325</v>
      </c>
      <c r="G430" s="7">
        <f>SUMIFS(Лист2!$E:$E,Лист2!$A:$A,A430,Лист2!$B:$B,B430)</f>
        <v>18935</v>
      </c>
      <c r="H430">
        <f t="shared" si="12"/>
        <v>302909.26976707316</v>
      </c>
      <c r="I430" s="15">
        <f t="shared" si="13"/>
        <v>23</v>
      </c>
    </row>
    <row r="431" spans="1:9" ht="14.25" customHeight="1" x14ac:dyDescent="0.2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SUMIFS(Лист2!$C:$C,Лист2!$A:$A,A431,Лист2!$B:$B,B431)</f>
        <v>125</v>
      </c>
      <c r="F431" s="7">
        <f>SUMIFS(Лист2!$D:$D,Лист2!$A:$A,A431,Лист2!$B:$B,B431)</f>
        <v>18066</v>
      </c>
      <c r="G431" s="7">
        <f>SUMIFS(Лист2!$E:$E,Лист2!$A:$A,A431,Лист2!$B:$B,B431)</f>
        <v>16883</v>
      </c>
      <c r="H431">
        <f t="shared" si="12"/>
        <v>270252.64799999999</v>
      </c>
      <c r="I431" s="15">
        <f t="shared" si="13"/>
        <v>20</v>
      </c>
    </row>
    <row r="432" spans="1:9" ht="14.25" customHeight="1" x14ac:dyDescent="0.2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SUMIFS(Лист2!$C:$C,Лист2!$A:$A,A432,Лист2!$B:$B,B432)</f>
        <v>129</v>
      </c>
      <c r="F432" s="7">
        <f>SUMIFS(Лист2!$D:$D,Лист2!$A:$A,A432,Лист2!$B:$B,B432)</f>
        <v>22403</v>
      </c>
      <c r="G432" s="7">
        <f>SUMIFS(Лист2!$E:$E,Лист2!$A:$A,A432,Лист2!$B:$B,B432)</f>
        <v>20676</v>
      </c>
      <c r="H432">
        <f t="shared" si="12"/>
        <v>323776.27988372097</v>
      </c>
      <c r="I432" s="15">
        <f t="shared" si="13"/>
        <v>22</v>
      </c>
    </row>
    <row r="433" spans="1:9" ht="14.25" customHeight="1" x14ac:dyDescent="0.2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SUMIFS(Лист2!$C:$C,Лист2!$A:$A,A433,Лист2!$B:$B,B433)</f>
        <v>125</v>
      </c>
      <c r="F433" s="7">
        <f>SUMIFS(Лист2!$D:$D,Лист2!$A:$A,A433,Лист2!$B:$B,B433)</f>
        <v>20449</v>
      </c>
      <c r="G433" s="7">
        <f>SUMIFS(Лист2!$E:$E,Лист2!$A:$A,A433,Лист2!$B:$B,B433)</f>
        <v>19060</v>
      </c>
      <c r="H433">
        <f t="shared" si="12"/>
        <v>295015.10399999999</v>
      </c>
      <c r="I433" s="15">
        <f t="shared" si="13"/>
        <v>21</v>
      </c>
    </row>
    <row r="434" spans="1:9" ht="14.25" customHeight="1" x14ac:dyDescent="0.2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SUMIFS(Лист2!$C:$C,Лист2!$A:$A,A434,Лист2!$B:$B,B434)</f>
        <v>125</v>
      </c>
      <c r="F434" s="7">
        <f>SUMIFS(Лист2!$D:$D,Лист2!$A:$A,A434,Лист2!$B:$B,B434)</f>
        <v>20247</v>
      </c>
      <c r="G434" s="7">
        <f>SUMIFS(Лист2!$E:$E,Лист2!$A:$A,A434,Лист2!$B:$B,B434)</f>
        <v>18812</v>
      </c>
      <c r="H434">
        <f t="shared" si="12"/>
        <v>303705.20400000003</v>
      </c>
      <c r="I434" s="15">
        <f t="shared" si="13"/>
        <v>20</v>
      </c>
    </row>
    <row r="435" spans="1:9" ht="14.25" customHeight="1" x14ac:dyDescent="0.2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SUMIFS(Лист2!$C:$C,Лист2!$A:$A,A435,Лист2!$B:$B,B435)</f>
        <v>125</v>
      </c>
      <c r="F435" s="7">
        <f>SUMIFS(Лист2!$D:$D,Лист2!$A:$A,A435,Лист2!$B:$B,B435)</f>
        <v>21862</v>
      </c>
      <c r="G435" s="7">
        <f>SUMIFS(Лист2!$E:$E,Лист2!$A:$A,A435,Лист2!$B:$B,B435)</f>
        <v>20235</v>
      </c>
      <c r="H435">
        <f t="shared" si="12"/>
        <v>338171.016</v>
      </c>
      <c r="I435" s="15">
        <f t="shared" si="13"/>
        <v>20</v>
      </c>
    </row>
    <row r="436" spans="1:9" ht="14.25" customHeight="1" x14ac:dyDescent="0.2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SUMIFS(Лист2!$C:$C,Лист2!$A:$A,A436,Лист2!$B:$B,B436)</f>
        <v>36</v>
      </c>
      <c r="F436" s="7">
        <f>SUMIFS(Лист2!$D:$D,Лист2!$A:$A,A436,Лист2!$B:$B,B436)</f>
        <v>4951</v>
      </c>
      <c r="G436" s="7">
        <f>SUMIFS(Лист2!$E:$E,Лист2!$A:$A,A436,Лист2!$B:$B,B436)</f>
        <v>4584</v>
      </c>
      <c r="H436">
        <f t="shared" si="12"/>
        <v>166274.83333333334</v>
      </c>
      <c r="I436" s="15">
        <f t="shared" si="13"/>
        <v>22</v>
      </c>
    </row>
    <row r="437" spans="1:9" ht="14.25" customHeight="1" x14ac:dyDescent="0.2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SUMIFS(Лист2!$C:$C,Лист2!$A:$A,A437,Лист2!$B:$B,B437)</f>
        <v>36</v>
      </c>
      <c r="F437" s="7">
        <f>SUMIFS(Лист2!$D:$D,Лист2!$A:$A,A437,Лист2!$B:$B,B437)</f>
        <v>4857</v>
      </c>
      <c r="G437" s="7">
        <f>SUMIFS(Лист2!$E:$E,Лист2!$A:$A,A437,Лист2!$B:$B,B437)</f>
        <v>4456</v>
      </c>
      <c r="H437">
        <f t="shared" si="12"/>
        <v>165096.91666666666</v>
      </c>
      <c r="I437" s="15">
        <f t="shared" si="13"/>
        <v>21</v>
      </c>
    </row>
    <row r="438" spans="1:9" ht="14.25" customHeight="1" x14ac:dyDescent="0.2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SUMIFS(Лист2!$C:$C,Лист2!$A:$A,A438,Лист2!$B:$B,B438)</f>
        <v>37</v>
      </c>
      <c r="F438" s="7">
        <f>SUMIFS(Лист2!$D:$D,Лист2!$A:$A,A438,Лист2!$B:$B,B438)</f>
        <v>4722</v>
      </c>
      <c r="G438" s="7">
        <f>SUMIFS(Лист2!$E:$E,Лист2!$A:$A,A438,Лист2!$B:$B,B438)</f>
        <v>4352</v>
      </c>
      <c r="H438">
        <f t="shared" si="12"/>
        <v>156764.59459459459</v>
      </c>
      <c r="I438" s="15">
        <f t="shared" si="13"/>
        <v>23</v>
      </c>
    </row>
    <row r="439" spans="1:9" ht="14.25" customHeight="1" x14ac:dyDescent="0.2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SUMIFS(Лист2!$C:$C,Лист2!$A:$A,A439,Лист2!$B:$B,B439)</f>
        <v>36</v>
      </c>
      <c r="F439" s="7">
        <f>SUMIFS(Лист2!$D:$D,Лист2!$A:$A,A439,Лист2!$B:$B,B439)</f>
        <v>4150</v>
      </c>
      <c r="G439" s="7">
        <f>SUMIFS(Лист2!$E:$E,Лист2!$A:$A,A439,Лист2!$B:$B,B439)</f>
        <v>3838</v>
      </c>
      <c r="H439">
        <f t="shared" si="12"/>
        <v>143838.04166666666</v>
      </c>
      <c r="I439" s="15">
        <f t="shared" si="13"/>
        <v>20</v>
      </c>
    </row>
    <row r="440" spans="1:9" ht="14.25" customHeight="1" x14ac:dyDescent="0.2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SUMIFS(Лист2!$C:$C,Лист2!$A:$A,A440,Лист2!$B:$B,B440)</f>
        <v>124</v>
      </c>
      <c r="F440" s="7">
        <f>SUMIFS(Лист2!$D:$D,Лист2!$A:$A,A440,Лист2!$B:$B,B440)</f>
        <v>25828</v>
      </c>
      <c r="G440" s="7">
        <f>SUMIFS(Лист2!$E:$E,Лист2!$A:$A,A440,Лист2!$B:$B,B440)</f>
        <v>23974</v>
      </c>
      <c r="H440">
        <f t="shared" si="12"/>
        <v>436871.20161290321</v>
      </c>
      <c r="I440" s="15">
        <f t="shared" si="13"/>
        <v>22</v>
      </c>
    </row>
    <row r="441" spans="1:9" ht="14.25" customHeight="1" x14ac:dyDescent="0.2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SUMIFS(Лист2!$C:$C,Лист2!$A:$A,A441,Лист2!$B:$B,B441)</f>
        <v>36</v>
      </c>
      <c r="F441" s="7">
        <f>SUMIFS(Лист2!$D:$D,Лист2!$A:$A,A441,Лист2!$B:$B,B441)</f>
        <v>4885</v>
      </c>
      <c r="G441" s="7">
        <f>SUMIFS(Лист2!$E:$E,Лист2!$A:$A,A441,Лист2!$B:$B,B441)</f>
        <v>4502</v>
      </c>
      <c r="H441">
        <f t="shared" si="12"/>
        <v>161068.79166666666</v>
      </c>
      <c r="I441" s="15">
        <f t="shared" si="13"/>
        <v>21</v>
      </c>
    </row>
    <row r="442" spans="1:9" ht="14.25" customHeight="1" x14ac:dyDescent="0.2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SUMIFS(Лист2!$C:$C,Лист2!$A:$A,A442,Лист2!$B:$B,B442)</f>
        <v>36</v>
      </c>
      <c r="F442" s="7">
        <f>SUMIFS(Лист2!$D:$D,Лист2!$A:$A,A442,Лист2!$B:$B,B442)</f>
        <v>4285</v>
      </c>
      <c r="G442" s="7">
        <f>SUMIFS(Лист2!$E:$E,Лист2!$A:$A,A442,Лист2!$B:$B,B442)</f>
        <v>3950</v>
      </c>
      <c r="H442">
        <f t="shared" si="12"/>
        <v>149072.29166666666</v>
      </c>
      <c r="I442" s="15">
        <f t="shared" si="13"/>
        <v>20</v>
      </c>
    </row>
    <row r="443" spans="1:9" ht="14.25" customHeight="1" x14ac:dyDescent="0.2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SUMIFS(Лист2!$C:$C,Лист2!$A:$A,A443,Лист2!$B:$B,B443)</f>
        <v>36</v>
      </c>
      <c r="F443" s="7">
        <f>SUMIFS(Лист2!$D:$D,Лист2!$A:$A,A443,Лист2!$B:$B,B443)</f>
        <v>4862</v>
      </c>
      <c r="G443" s="7">
        <f>SUMIFS(Лист2!$E:$E,Лист2!$A:$A,A443,Лист2!$B:$B,B443)</f>
        <v>4476</v>
      </c>
      <c r="H443">
        <f t="shared" si="12"/>
        <v>174832</v>
      </c>
      <c r="I443" s="15">
        <f t="shared" si="13"/>
        <v>20</v>
      </c>
    </row>
    <row r="444" spans="1:9" ht="14.25" customHeight="1" x14ac:dyDescent="0.2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SUMIFS(Лист2!$C:$C,Лист2!$A:$A,A444,Лист2!$B:$B,B444)</f>
        <v>21</v>
      </c>
      <c r="F444" s="7">
        <f>SUMIFS(Лист2!$D:$D,Лист2!$A:$A,A444,Лист2!$B:$B,B444)</f>
        <v>2430</v>
      </c>
      <c r="G444" s="7">
        <f>SUMIFS(Лист2!$E:$E,Лист2!$A:$A,A444,Лист2!$B:$B,B444)</f>
        <v>2216</v>
      </c>
      <c r="H444">
        <f t="shared" si="12"/>
        <v>180040.57142857142</v>
      </c>
      <c r="I444" s="15">
        <f t="shared" si="13"/>
        <v>22</v>
      </c>
    </row>
    <row r="445" spans="1:9" ht="14.25" customHeight="1" x14ac:dyDescent="0.2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SUMIFS(Лист2!$C:$C,Лист2!$A:$A,A445,Лист2!$B:$B,B445)</f>
        <v>21</v>
      </c>
      <c r="F445" s="7">
        <f>SUMIFS(Лист2!$D:$D,Лист2!$A:$A,A445,Лист2!$B:$B,B445)</f>
        <v>2861</v>
      </c>
      <c r="G445" s="7">
        <f>SUMIFS(Лист2!$E:$E,Лист2!$A:$A,A445,Лист2!$B:$B,B445)</f>
        <v>2612</v>
      </c>
      <c r="H445">
        <f t="shared" si="12"/>
        <v>230515.85714285713</v>
      </c>
      <c r="I445" s="15">
        <f t="shared" si="13"/>
        <v>21</v>
      </c>
    </row>
    <row r="446" spans="1:9" ht="14.25" customHeight="1" x14ac:dyDescent="0.2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SUMIFS(Лист2!$C:$C,Лист2!$A:$A,A446,Лист2!$B:$B,B446)</f>
        <v>23</v>
      </c>
      <c r="F446" s="7">
        <f>SUMIFS(Лист2!$D:$D,Лист2!$A:$A,A446,Лист2!$B:$B,B446)</f>
        <v>2531</v>
      </c>
      <c r="G446" s="7">
        <f>SUMIFS(Лист2!$E:$E,Лист2!$A:$A,A446,Лист2!$B:$B,B446)</f>
        <v>2296</v>
      </c>
      <c r="H446">
        <f t="shared" si="12"/>
        <v>168054.39130434784</v>
      </c>
      <c r="I446" s="15">
        <f t="shared" si="13"/>
        <v>23</v>
      </c>
    </row>
    <row r="447" spans="1:9" ht="14.25" customHeight="1" x14ac:dyDescent="0.2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SUMIFS(Лист2!$C:$C,Лист2!$A:$A,A447,Лист2!$B:$B,B447)</f>
        <v>21</v>
      </c>
      <c r="F447" s="7">
        <f>SUMIFS(Лист2!$D:$D,Лист2!$A:$A,A447,Лист2!$B:$B,B447)</f>
        <v>1916</v>
      </c>
      <c r="G447" s="7">
        <f>SUMIFS(Лист2!$E:$E,Лист2!$A:$A,A447,Лист2!$B:$B,B447)</f>
        <v>1733</v>
      </c>
      <c r="H447">
        <f t="shared" si="12"/>
        <v>146649.07142857142</v>
      </c>
      <c r="I447" s="15">
        <f t="shared" si="13"/>
        <v>20</v>
      </c>
    </row>
    <row r="448" spans="1:9" ht="14.25" customHeight="1" x14ac:dyDescent="0.2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SUMIFS(Лист2!$C:$C,Лист2!$A:$A,A448,Лист2!$B:$B,B448)</f>
        <v>37</v>
      </c>
      <c r="F448" s="7">
        <f>SUMIFS(Лист2!$D:$D,Лист2!$A:$A,A448,Лист2!$B:$B,B448)</f>
        <v>5672</v>
      </c>
      <c r="G448" s="7">
        <f>SUMIFS(Лист2!$E:$E,Лист2!$A:$A,A448,Лист2!$B:$B,B448)</f>
        <v>5198</v>
      </c>
      <c r="H448">
        <f t="shared" si="12"/>
        <v>195362.02702702704</v>
      </c>
      <c r="I448" s="15">
        <f t="shared" si="13"/>
        <v>22</v>
      </c>
    </row>
    <row r="449" spans="1:9" ht="14.25" customHeight="1" x14ac:dyDescent="0.2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SUMIFS(Лист2!$C:$C,Лист2!$A:$A,A449,Лист2!$B:$B,B449)</f>
        <v>21</v>
      </c>
      <c r="F449" s="7">
        <f>SUMIFS(Лист2!$D:$D,Лист2!$A:$A,A449,Лист2!$B:$B,B449)</f>
        <v>2136</v>
      </c>
      <c r="G449" s="7">
        <f>SUMIFS(Лист2!$E:$E,Лист2!$A:$A,A449,Лист2!$B:$B,B449)</f>
        <v>1947</v>
      </c>
      <c r="H449">
        <f t="shared" si="12"/>
        <v>160006.42857142858</v>
      </c>
      <c r="I449" s="15">
        <f t="shared" si="13"/>
        <v>21</v>
      </c>
    </row>
    <row r="450" spans="1:9" ht="14.25" customHeight="1" x14ac:dyDescent="0.2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SUMIFS(Лист2!$C:$C,Лист2!$A:$A,A450,Лист2!$B:$B,B450)</f>
        <v>21</v>
      </c>
      <c r="F450" s="7">
        <f>SUMIFS(Лист2!$D:$D,Лист2!$A:$A,A450,Лист2!$B:$B,B450)</f>
        <v>1993</v>
      </c>
      <c r="G450" s="7">
        <f>SUMIFS(Лист2!$E:$E,Лист2!$A:$A,A450,Лист2!$B:$B,B450)</f>
        <v>1796</v>
      </c>
      <c r="H450">
        <f t="shared" si="12"/>
        <v>150784.71428571429</v>
      </c>
      <c r="I450" s="15">
        <f t="shared" si="13"/>
        <v>20</v>
      </c>
    </row>
    <row r="451" spans="1:9" ht="14.25" customHeight="1" x14ac:dyDescent="0.2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SUMIFS(Лист2!$C:$C,Лист2!$A:$A,A451,Лист2!$B:$B,B451)</f>
        <v>21</v>
      </c>
      <c r="F451" s="7">
        <f>SUMIFS(Лист2!$D:$D,Лист2!$A:$A,A451,Лист2!$B:$B,B451)</f>
        <v>2255</v>
      </c>
      <c r="G451" s="7">
        <f>SUMIFS(Лист2!$E:$E,Лист2!$A:$A,A451,Лист2!$B:$B,B451)</f>
        <v>2045</v>
      </c>
      <c r="H451">
        <f t="shared" ref="H451:H505" si="14">D451/E451</f>
        <v>179631.35714285713</v>
      </c>
      <c r="I451" s="15">
        <f t="shared" ref="I451:I505" si="15">WEEKNUM(A451,2)</f>
        <v>20</v>
      </c>
    </row>
    <row r="452" spans="1:9" ht="14.25" customHeight="1" x14ac:dyDescent="0.2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SUMIFS(Лист2!$C:$C,Лист2!$A:$A,A452,Лист2!$B:$B,B452)</f>
        <v>22</v>
      </c>
      <c r="F452" s="7">
        <f>SUMIFS(Лист2!$D:$D,Лист2!$A:$A,A452,Лист2!$B:$B,B452)</f>
        <v>2597</v>
      </c>
      <c r="G452" s="7">
        <f>SUMIFS(Лист2!$E:$E,Лист2!$A:$A,A452,Лист2!$B:$B,B452)</f>
        <v>2379</v>
      </c>
      <c r="H452">
        <f t="shared" si="14"/>
        <v>186754.36363636365</v>
      </c>
      <c r="I452" s="15">
        <f t="shared" si="15"/>
        <v>22</v>
      </c>
    </row>
    <row r="453" spans="1:9" ht="14.25" customHeight="1" x14ac:dyDescent="0.2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SUMIFS(Лист2!$C:$C,Лист2!$A:$A,A453,Лист2!$B:$B,B453)</f>
        <v>17</v>
      </c>
      <c r="F453" s="7">
        <f>SUMIFS(Лист2!$D:$D,Лист2!$A:$A,A453,Лист2!$B:$B,B453)</f>
        <v>1203</v>
      </c>
      <c r="G453" s="7">
        <f>SUMIFS(Лист2!$E:$E,Лист2!$A:$A,A453,Лист2!$B:$B,B453)</f>
        <v>1077</v>
      </c>
      <c r="H453">
        <f t="shared" si="14"/>
        <v>94299.088235294112</v>
      </c>
      <c r="I453" s="15">
        <f t="shared" si="15"/>
        <v>22</v>
      </c>
    </row>
    <row r="454" spans="1:9" ht="14.25" customHeight="1" x14ac:dyDescent="0.2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SUMIFS(Лист2!$C:$C,Лист2!$A:$A,A454,Лист2!$B:$B,B454)</f>
        <v>17</v>
      </c>
      <c r="F454" s="7">
        <f>SUMIFS(Лист2!$D:$D,Лист2!$A:$A,A454,Лист2!$B:$B,B454)</f>
        <v>1268</v>
      </c>
      <c r="G454" s="7">
        <f>SUMIFS(Лист2!$E:$E,Лист2!$A:$A,A454,Лист2!$B:$B,B454)</f>
        <v>1129</v>
      </c>
      <c r="H454">
        <f t="shared" si="14"/>
        <v>104372.29411764706</v>
      </c>
      <c r="I454" s="15">
        <f t="shared" si="15"/>
        <v>21</v>
      </c>
    </row>
    <row r="455" spans="1:9" ht="14.25" customHeight="1" x14ac:dyDescent="0.2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SUMIFS(Лист2!$C:$C,Лист2!$A:$A,A455,Лист2!$B:$B,B455)</f>
        <v>17</v>
      </c>
      <c r="F455" s="7">
        <f>SUMIFS(Лист2!$D:$D,Лист2!$A:$A,A455,Лист2!$B:$B,B455)</f>
        <v>1185</v>
      </c>
      <c r="G455" s="7">
        <f>SUMIFS(Лист2!$E:$E,Лист2!$A:$A,A455,Лист2!$B:$B,B455)</f>
        <v>1042</v>
      </c>
      <c r="H455">
        <f t="shared" si="14"/>
        <v>89800.5</v>
      </c>
      <c r="I455" s="15">
        <f t="shared" si="15"/>
        <v>23</v>
      </c>
    </row>
    <row r="456" spans="1:9" ht="14.25" customHeight="1" x14ac:dyDescent="0.2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SUMIFS(Лист2!$C:$C,Лист2!$A:$A,A456,Лист2!$B:$B,B456)</f>
        <v>15</v>
      </c>
      <c r="F456" s="7">
        <f>SUMIFS(Лист2!$D:$D,Лист2!$A:$A,A456,Лист2!$B:$B,B456)</f>
        <v>812</v>
      </c>
      <c r="G456" s="7">
        <f>SUMIFS(Лист2!$E:$E,Лист2!$A:$A,A456,Лист2!$B:$B,B456)</f>
        <v>714</v>
      </c>
      <c r="H456">
        <f t="shared" si="14"/>
        <v>73066.8</v>
      </c>
      <c r="I456" s="15">
        <f t="shared" si="15"/>
        <v>20</v>
      </c>
    </row>
    <row r="457" spans="1:9" ht="14.25" customHeight="1" x14ac:dyDescent="0.2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SUMIFS(Лист2!$C:$C,Лист2!$A:$A,A457,Лист2!$B:$B,B457)</f>
        <v>16</v>
      </c>
      <c r="F457" s="7">
        <f>SUMIFS(Лист2!$D:$D,Лист2!$A:$A,A457,Лист2!$B:$B,B457)</f>
        <v>925</v>
      </c>
      <c r="G457" s="7">
        <f>SUMIFS(Лист2!$E:$E,Лист2!$A:$A,A457,Лист2!$B:$B,B457)</f>
        <v>816</v>
      </c>
      <c r="H457">
        <f t="shared" si="14"/>
        <v>77885.15625</v>
      </c>
      <c r="I457" s="15">
        <f t="shared" si="15"/>
        <v>21</v>
      </c>
    </row>
    <row r="458" spans="1:9" ht="14.25" customHeight="1" x14ac:dyDescent="0.2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SUMIFS(Лист2!$C:$C,Лист2!$A:$A,A458,Лист2!$B:$B,B458)</f>
        <v>15</v>
      </c>
      <c r="F458" s="7">
        <f>SUMIFS(Лист2!$D:$D,Лист2!$A:$A,A458,Лист2!$B:$B,B458)</f>
        <v>890</v>
      </c>
      <c r="G458" s="7">
        <f>SUMIFS(Лист2!$E:$E,Лист2!$A:$A,A458,Лист2!$B:$B,B458)</f>
        <v>777</v>
      </c>
      <c r="H458">
        <f t="shared" si="14"/>
        <v>81566.100000000006</v>
      </c>
      <c r="I458" s="15">
        <f t="shared" si="15"/>
        <v>20</v>
      </c>
    </row>
    <row r="459" spans="1:9" ht="14.25" customHeight="1" x14ac:dyDescent="0.2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SUMIFS(Лист2!$C:$C,Лист2!$A:$A,A459,Лист2!$B:$B,B459)</f>
        <v>15</v>
      </c>
      <c r="F459" s="7">
        <f>SUMIFS(Лист2!$D:$D,Лист2!$A:$A,A459,Лист2!$B:$B,B459)</f>
        <v>980</v>
      </c>
      <c r="G459" s="7">
        <f>SUMIFS(Лист2!$E:$E,Лист2!$A:$A,A459,Лист2!$B:$B,B459)</f>
        <v>867</v>
      </c>
      <c r="H459">
        <f t="shared" si="14"/>
        <v>91365.5</v>
      </c>
      <c r="I459" s="15">
        <f t="shared" si="15"/>
        <v>20</v>
      </c>
    </row>
    <row r="460" spans="1:9" ht="14.25" customHeight="1" x14ac:dyDescent="0.2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SUMIFS(Лист2!$C:$C,Лист2!$A:$A,A460,Лист2!$B:$B,B460)</f>
        <v>15</v>
      </c>
      <c r="F460" s="7">
        <f>SUMIFS(Лист2!$D:$D,Лист2!$A:$A,A460,Лист2!$B:$B,B460)</f>
        <v>809</v>
      </c>
      <c r="G460" s="7">
        <f>SUMIFS(Лист2!$E:$E,Лист2!$A:$A,A460,Лист2!$B:$B,B460)</f>
        <v>702</v>
      </c>
      <c r="H460">
        <f t="shared" si="14"/>
        <v>80763.8</v>
      </c>
      <c r="I460" s="15">
        <f t="shared" si="15"/>
        <v>22</v>
      </c>
    </row>
    <row r="461" spans="1:9" ht="14.25" customHeight="1" x14ac:dyDescent="0.2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SUMIFS(Лист2!$C:$C,Лист2!$A:$A,A461,Лист2!$B:$B,B461)</f>
        <v>15</v>
      </c>
      <c r="F461" s="7">
        <f>SUMIFS(Лист2!$D:$D,Лист2!$A:$A,A461,Лист2!$B:$B,B461)</f>
        <v>903</v>
      </c>
      <c r="G461" s="7">
        <f>SUMIFS(Лист2!$E:$E,Лист2!$A:$A,A461,Лист2!$B:$B,B461)</f>
        <v>792</v>
      </c>
      <c r="H461">
        <f t="shared" si="14"/>
        <v>94127.3</v>
      </c>
      <c r="I461" s="15">
        <f t="shared" si="15"/>
        <v>21</v>
      </c>
    </row>
    <row r="462" spans="1:9" ht="14.25" customHeight="1" x14ac:dyDescent="0.2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SUMIFS(Лист2!$C:$C,Лист2!$A:$A,A462,Лист2!$B:$B,B462)</f>
        <v>16</v>
      </c>
      <c r="F462" s="7">
        <f>SUMIFS(Лист2!$D:$D,Лист2!$A:$A,A462,Лист2!$B:$B,B462)</f>
        <v>1019</v>
      </c>
      <c r="G462" s="7">
        <f>SUMIFS(Лист2!$E:$E,Лист2!$A:$A,A462,Лист2!$B:$B,B462)</f>
        <v>895</v>
      </c>
      <c r="H462">
        <f t="shared" si="14"/>
        <v>97852.03125</v>
      </c>
      <c r="I462" s="15">
        <f t="shared" si="15"/>
        <v>23</v>
      </c>
    </row>
    <row r="463" spans="1:9" ht="14.25" customHeight="1" x14ac:dyDescent="0.2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SUMIFS(Лист2!$C:$C,Лист2!$A:$A,A463,Лист2!$B:$B,B463)</f>
        <v>15</v>
      </c>
      <c r="F463" s="7">
        <f>SUMIFS(Лист2!$D:$D,Лист2!$A:$A,A463,Лист2!$B:$B,B463)</f>
        <v>684</v>
      </c>
      <c r="G463" s="7">
        <f>SUMIFS(Лист2!$E:$E,Лист2!$A:$A,A463,Лист2!$B:$B,B463)</f>
        <v>585</v>
      </c>
      <c r="H463">
        <f t="shared" si="14"/>
        <v>72077.2</v>
      </c>
      <c r="I463" s="15">
        <f t="shared" si="15"/>
        <v>20</v>
      </c>
    </row>
    <row r="464" spans="1:9" ht="14.25" customHeight="1" x14ac:dyDescent="0.2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SUMIFS(Лист2!$C:$C,Лист2!$A:$A,A464,Лист2!$B:$B,B464)</f>
        <v>17</v>
      </c>
      <c r="F464" s="7">
        <f>SUMIFS(Лист2!$D:$D,Лист2!$A:$A,A464,Лист2!$B:$B,B464)</f>
        <v>1296</v>
      </c>
      <c r="G464" s="7">
        <f>SUMIFS(Лист2!$E:$E,Лист2!$A:$A,A464,Лист2!$B:$B,B464)</f>
        <v>1153</v>
      </c>
      <c r="H464">
        <f t="shared" si="14"/>
        <v>103804.05882352941</v>
      </c>
      <c r="I464" s="15">
        <f t="shared" si="15"/>
        <v>22</v>
      </c>
    </row>
    <row r="465" spans="1:9" ht="14.25" customHeight="1" x14ac:dyDescent="0.2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SUMIFS(Лист2!$C:$C,Лист2!$A:$A,A465,Лист2!$B:$B,B465)</f>
        <v>15</v>
      </c>
      <c r="F465" s="7">
        <f>SUMIFS(Лист2!$D:$D,Лист2!$A:$A,A465,Лист2!$B:$B,B465)</f>
        <v>729</v>
      </c>
      <c r="G465" s="7">
        <f>SUMIFS(Лист2!$E:$E,Лист2!$A:$A,A465,Лист2!$B:$B,B465)</f>
        <v>636</v>
      </c>
      <c r="H465">
        <f t="shared" si="14"/>
        <v>74343.100000000006</v>
      </c>
      <c r="I465" s="15">
        <f t="shared" si="15"/>
        <v>21</v>
      </c>
    </row>
    <row r="466" spans="1:9" ht="14.25" customHeight="1" x14ac:dyDescent="0.2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SUMIFS(Лист2!$C:$C,Лист2!$A:$A,A466,Лист2!$B:$B,B466)</f>
        <v>15</v>
      </c>
      <c r="F466" s="7">
        <f>SUMIFS(Лист2!$D:$D,Лист2!$A:$A,A466,Лист2!$B:$B,B466)</f>
        <v>638</v>
      </c>
      <c r="G466" s="7">
        <f>SUMIFS(Лист2!$E:$E,Лист2!$A:$A,A466,Лист2!$B:$B,B466)</f>
        <v>548</v>
      </c>
      <c r="H466">
        <f t="shared" si="14"/>
        <v>64233.5</v>
      </c>
      <c r="I466" s="15">
        <f t="shared" si="15"/>
        <v>20</v>
      </c>
    </row>
    <row r="467" spans="1:9" ht="14.25" customHeight="1" x14ac:dyDescent="0.2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SUMIFS(Лист2!$C:$C,Лист2!$A:$A,A467,Лист2!$B:$B,B467)</f>
        <v>15</v>
      </c>
      <c r="F467" s="7">
        <f>SUMIFS(Лист2!$D:$D,Лист2!$A:$A,A467,Лист2!$B:$B,B467)</f>
        <v>688</v>
      </c>
      <c r="G467" s="7">
        <f>SUMIFS(Лист2!$E:$E,Лист2!$A:$A,A467,Лист2!$B:$B,B467)</f>
        <v>598</v>
      </c>
      <c r="H467">
        <f t="shared" si="14"/>
        <v>74848.7</v>
      </c>
      <c r="I467" s="15">
        <f t="shared" si="15"/>
        <v>20</v>
      </c>
    </row>
    <row r="468" spans="1:9" ht="14.25" customHeight="1" x14ac:dyDescent="0.2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SUMIFS(Лист2!$C:$C,Лист2!$A:$A,A468,Лист2!$B:$B,B468)</f>
        <v>20</v>
      </c>
      <c r="F468" s="7">
        <f>SUMIFS(Лист2!$D:$D,Лист2!$A:$A,A468,Лист2!$B:$B,B468)</f>
        <v>1873</v>
      </c>
      <c r="G468" s="7">
        <f>SUMIFS(Лист2!$E:$E,Лист2!$A:$A,A468,Лист2!$B:$B,B468)</f>
        <v>1715</v>
      </c>
      <c r="H468">
        <f t="shared" si="14"/>
        <v>122927.77499999999</v>
      </c>
      <c r="I468" s="15">
        <f t="shared" si="15"/>
        <v>22</v>
      </c>
    </row>
    <row r="469" spans="1:9" ht="14.25" customHeight="1" x14ac:dyDescent="0.2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SUMIFS(Лист2!$C:$C,Лист2!$A:$A,A469,Лист2!$B:$B,B469)</f>
        <v>19</v>
      </c>
      <c r="F469" s="7">
        <f>SUMIFS(Лист2!$D:$D,Лист2!$A:$A,A469,Лист2!$B:$B,B469)</f>
        <v>1859</v>
      </c>
      <c r="G469" s="7">
        <f>SUMIFS(Лист2!$E:$E,Лист2!$A:$A,A469,Лист2!$B:$B,B469)</f>
        <v>1697</v>
      </c>
      <c r="H469">
        <f t="shared" si="14"/>
        <v>133721.84210526315</v>
      </c>
      <c r="I469" s="15">
        <f t="shared" si="15"/>
        <v>21</v>
      </c>
    </row>
    <row r="470" spans="1:9" ht="14.25" customHeight="1" x14ac:dyDescent="0.2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SUMIFS(Лист2!$C:$C,Лист2!$A:$A,A470,Лист2!$B:$B,B470)</f>
        <v>21</v>
      </c>
      <c r="F470" s="7">
        <f>SUMIFS(Лист2!$D:$D,Лист2!$A:$A,A470,Лист2!$B:$B,B470)</f>
        <v>1879</v>
      </c>
      <c r="G470" s="7">
        <f>SUMIFS(Лист2!$E:$E,Лист2!$A:$A,A470,Лист2!$B:$B,B470)</f>
        <v>1720</v>
      </c>
      <c r="H470">
        <f t="shared" si="14"/>
        <v>120903.21428571429</v>
      </c>
      <c r="I470" s="15">
        <f t="shared" si="15"/>
        <v>23</v>
      </c>
    </row>
    <row r="471" spans="1:9" ht="14.25" customHeight="1" x14ac:dyDescent="0.2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SUMIFS(Лист2!$C:$C,Лист2!$A:$A,A471,Лист2!$B:$B,B471)</f>
        <v>19</v>
      </c>
      <c r="F471" s="7">
        <f>SUMIFS(Лист2!$D:$D,Лист2!$A:$A,A471,Лист2!$B:$B,B471)</f>
        <v>1527</v>
      </c>
      <c r="G471" s="7">
        <f>SUMIFS(Лист2!$E:$E,Лист2!$A:$A,A471,Лист2!$B:$B,B471)</f>
        <v>1389</v>
      </c>
      <c r="H471">
        <f t="shared" si="14"/>
        <v>113913.94736842105</v>
      </c>
      <c r="I471" s="15">
        <f t="shared" si="15"/>
        <v>20</v>
      </c>
    </row>
    <row r="472" spans="1:9" ht="14.25" customHeight="1" x14ac:dyDescent="0.2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SUMIFS(Лист2!$C:$C,Лист2!$A:$A,A472,Лист2!$B:$B,B472)</f>
        <v>16</v>
      </c>
      <c r="F472" s="7">
        <f>SUMIFS(Лист2!$D:$D,Лист2!$A:$A,A472,Лист2!$B:$B,B472)</f>
        <v>981</v>
      </c>
      <c r="G472" s="7">
        <f>SUMIFS(Лист2!$E:$E,Лист2!$A:$A,A472,Лист2!$B:$B,B472)</f>
        <v>859</v>
      </c>
      <c r="H472">
        <f t="shared" si="14"/>
        <v>96813.75</v>
      </c>
      <c r="I472" s="15">
        <f t="shared" si="15"/>
        <v>22</v>
      </c>
    </row>
    <row r="473" spans="1:9" ht="14.25" customHeight="1" x14ac:dyDescent="0.2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SUMIFS(Лист2!$C:$C,Лист2!$A:$A,A473,Лист2!$B:$B,B473)</f>
        <v>19</v>
      </c>
      <c r="F473" s="7">
        <f>SUMIFS(Лист2!$D:$D,Лист2!$A:$A,A473,Лист2!$B:$B,B473)</f>
        <v>1741</v>
      </c>
      <c r="G473" s="7">
        <f>SUMIFS(Лист2!$E:$E,Лист2!$A:$A,A473,Лист2!$B:$B,B473)</f>
        <v>1597</v>
      </c>
      <c r="H473">
        <f t="shared" si="14"/>
        <v>122341.57894736843</v>
      </c>
      <c r="I473" s="15">
        <f t="shared" si="15"/>
        <v>21</v>
      </c>
    </row>
    <row r="474" spans="1:9" ht="14.25" customHeight="1" x14ac:dyDescent="0.2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SUMIFS(Лист2!$C:$C,Лист2!$A:$A,A474,Лист2!$B:$B,B474)</f>
        <v>19</v>
      </c>
      <c r="F474" s="7">
        <f>SUMIFS(Лист2!$D:$D,Лист2!$A:$A,A474,Лист2!$B:$B,B474)</f>
        <v>1635</v>
      </c>
      <c r="G474" s="7">
        <f>SUMIFS(Лист2!$E:$E,Лист2!$A:$A,A474,Лист2!$B:$B,B474)</f>
        <v>1487</v>
      </c>
      <c r="H474">
        <f t="shared" si="14"/>
        <v>117123.23684210527</v>
      </c>
      <c r="I474" s="15">
        <f t="shared" si="15"/>
        <v>20</v>
      </c>
    </row>
    <row r="475" spans="1:9" ht="14.25" customHeight="1" x14ac:dyDescent="0.2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SUMIFS(Лист2!$C:$C,Лист2!$A:$A,A475,Лист2!$B:$B,B475)</f>
        <v>19</v>
      </c>
      <c r="F475" s="7">
        <f>SUMIFS(Лист2!$D:$D,Лист2!$A:$A,A475,Лист2!$B:$B,B475)</f>
        <v>1780</v>
      </c>
      <c r="G475" s="7">
        <f>SUMIFS(Лист2!$E:$E,Лист2!$A:$A,A475,Лист2!$B:$B,B475)</f>
        <v>1615</v>
      </c>
      <c r="H475">
        <f t="shared" si="14"/>
        <v>130394.05263157895</v>
      </c>
      <c r="I475" s="15">
        <f t="shared" si="15"/>
        <v>20</v>
      </c>
    </row>
    <row r="476" spans="1:9" ht="14.25" customHeight="1" x14ac:dyDescent="0.2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SUMIFS(Лист2!$C:$C,Лист2!$A:$A,A476,Лист2!$B:$B,B476)</f>
        <v>20</v>
      </c>
      <c r="F476" s="7">
        <f>SUMIFS(Лист2!$D:$D,Лист2!$A:$A,A476,Лист2!$B:$B,B476)</f>
        <v>2064</v>
      </c>
      <c r="G476" s="7">
        <f>SUMIFS(Лист2!$E:$E,Лист2!$A:$A,A476,Лист2!$B:$B,B476)</f>
        <v>1896</v>
      </c>
      <c r="H476">
        <f t="shared" si="14"/>
        <v>142737.07500000001</v>
      </c>
      <c r="I476" s="15">
        <f t="shared" si="15"/>
        <v>22</v>
      </c>
    </row>
    <row r="477" spans="1:9" ht="14.25" customHeight="1" x14ac:dyDescent="0.2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SUMIFS(Лист2!$C:$C,Лист2!$A:$A,A477,Лист2!$B:$B,B477)</f>
        <v>59</v>
      </c>
      <c r="F477" s="7">
        <f>SUMIFS(Лист2!$D:$D,Лист2!$A:$A,A477,Лист2!$B:$B,B477)</f>
        <v>13942</v>
      </c>
      <c r="G477" s="7">
        <f>SUMIFS(Лист2!$E:$E,Лист2!$A:$A,A477,Лист2!$B:$B,B477)</f>
        <v>12986</v>
      </c>
      <c r="H477">
        <f t="shared" si="14"/>
        <v>378683.05932203389</v>
      </c>
      <c r="I477" s="15">
        <f t="shared" si="15"/>
        <v>22</v>
      </c>
    </row>
    <row r="478" spans="1:9" ht="14.25" customHeight="1" x14ac:dyDescent="0.2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SUMIFS(Лист2!$C:$C,Лист2!$A:$A,A478,Лист2!$B:$B,B478)</f>
        <v>60</v>
      </c>
      <c r="F478" s="7">
        <f>SUMIFS(Лист2!$D:$D,Лист2!$A:$A,A478,Лист2!$B:$B,B478)</f>
        <v>14050</v>
      </c>
      <c r="G478" s="7">
        <f>SUMIFS(Лист2!$E:$E,Лист2!$A:$A,A478,Лист2!$B:$B,B478)</f>
        <v>13027</v>
      </c>
      <c r="H478">
        <f t="shared" si="14"/>
        <v>373012.875</v>
      </c>
      <c r="I478" s="15">
        <f t="shared" si="15"/>
        <v>21</v>
      </c>
    </row>
    <row r="479" spans="1:9" ht="14.25" customHeight="1" x14ac:dyDescent="0.2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SUMIFS(Лист2!$C:$C,Лист2!$A:$A,A479,Лист2!$B:$B,B479)</f>
        <v>59</v>
      </c>
      <c r="F479" s="7">
        <f>SUMIFS(Лист2!$D:$D,Лист2!$A:$A,A479,Лист2!$B:$B,B479)</f>
        <v>12299</v>
      </c>
      <c r="G479" s="7">
        <f>SUMIFS(Лист2!$E:$E,Лист2!$A:$A,A479,Лист2!$B:$B,B479)</f>
        <v>11448</v>
      </c>
      <c r="H479">
        <f t="shared" si="14"/>
        <v>329921.56779661018</v>
      </c>
      <c r="I479" s="15">
        <f t="shared" si="15"/>
        <v>23</v>
      </c>
    </row>
    <row r="480" spans="1:9" ht="14.25" customHeight="1" x14ac:dyDescent="0.2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SUMIFS(Лист2!$C:$C,Лист2!$A:$A,A480,Лист2!$B:$B,B480)</f>
        <v>60</v>
      </c>
      <c r="F480" s="7">
        <f>SUMIFS(Лист2!$D:$D,Лист2!$A:$A,A480,Лист2!$B:$B,B480)</f>
        <v>11100</v>
      </c>
      <c r="G480" s="7">
        <f>SUMIFS(Лист2!$E:$E,Лист2!$A:$A,A480,Лист2!$B:$B,B480)</f>
        <v>10407</v>
      </c>
      <c r="H480">
        <f t="shared" si="14"/>
        <v>298652.40000000002</v>
      </c>
      <c r="I480" s="15">
        <f t="shared" si="15"/>
        <v>20</v>
      </c>
    </row>
    <row r="481" spans="1:9" ht="14.25" customHeight="1" x14ac:dyDescent="0.2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SUMIFS(Лист2!$C:$C,Лист2!$A:$A,A481,Лист2!$B:$B,B481)</f>
        <v>60</v>
      </c>
      <c r="F481" s="7">
        <f>SUMIFS(Лист2!$D:$D,Лист2!$A:$A,A481,Лист2!$B:$B,B481)</f>
        <v>12460</v>
      </c>
      <c r="G481" s="7">
        <f>SUMIFS(Лист2!$E:$E,Лист2!$A:$A,A481,Лист2!$B:$B,B481)</f>
        <v>11665</v>
      </c>
      <c r="H481">
        <f t="shared" si="14"/>
        <v>340373.92499999999</v>
      </c>
      <c r="I481" s="15">
        <f t="shared" si="15"/>
        <v>21</v>
      </c>
    </row>
    <row r="482" spans="1:9" ht="14.25" customHeight="1" x14ac:dyDescent="0.2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SUMIFS(Лист2!$C:$C,Лист2!$A:$A,A482,Лист2!$B:$B,B482)</f>
        <v>60</v>
      </c>
      <c r="F482" s="7">
        <f>SUMIFS(Лист2!$D:$D,Лист2!$A:$A,A482,Лист2!$B:$B,B482)</f>
        <v>11935</v>
      </c>
      <c r="G482" s="7">
        <f>SUMIFS(Лист2!$E:$E,Лист2!$A:$A,A482,Лист2!$B:$B,B482)</f>
        <v>11178</v>
      </c>
      <c r="H482">
        <f t="shared" si="14"/>
        <v>332373.92499999999</v>
      </c>
      <c r="I482" s="15">
        <f t="shared" si="15"/>
        <v>20</v>
      </c>
    </row>
    <row r="483" spans="1:9" ht="14.25" customHeight="1" x14ac:dyDescent="0.2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SUMIFS(Лист2!$C:$C,Лист2!$A:$A,A483,Лист2!$B:$B,B483)</f>
        <v>60</v>
      </c>
      <c r="F483" s="7">
        <f>SUMIFS(Лист2!$D:$D,Лист2!$A:$A,A483,Лист2!$B:$B,B483)</f>
        <v>13544</v>
      </c>
      <c r="G483" s="7">
        <f>SUMIFS(Лист2!$E:$E,Лист2!$A:$A,A483,Лист2!$B:$B,B483)</f>
        <v>12643</v>
      </c>
      <c r="H483">
        <f t="shared" si="14"/>
        <v>384753.7</v>
      </c>
      <c r="I483" s="15">
        <f t="shared" si="15"/>
        <v>20</v>
      </c>
    </row>
    <row r="484" spans="1:9" ht="14.25" customHeight="1" x14ac:dyDescent="0.2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SUMIFS(Лист2!$C:$C,Лист2!$A:$A,A484,Лист2!$B:$B,B484)</f>
        <v>54</v>
      </c>
      <c r="F484" s="7">
        <f>SUMIFS(Лист2!$D:$D,Лист2!$A:$A,A484,Лист2!$B:$B,B484)</f>
        <v>13091</v>
      </c>
      <c r="G484" s="7">
        <f>SUMIFS(Лист2!$E:$E,Лист2!$A:$A,A484,Лист2!$B:$B,B484)</f>
        <v>12216</v>
      </c>
      <c r="H484">
        <f t="shared" si="14"/>
        <v>388024.52777777775</v>
      </c>
      <c r="I484" s="15">
        <f t="shared" si="15"/>
        <v>22</v>
      </c>
    </row>
    <row r="485" spans="1:9" ht="14.25" customHeight="1" x14ac:dyDescent="0.2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SUMIFS(Лист2!$C:$C,Лист2!$A:$A,A485,Лист2!$B:$B,B485)</f>
        <v>54</v>
      </c>
      <c r="F485" s="7">
        <f>SUMIFS(Лист2!$D:$D,Лист2!$A:$A,A485,Лист2!$B:$B,B485)</f>
        <v>13014</v>
      </c>
      <c r="G485" s="7">
        <f>SUMIFS(Лист2!$E:$E,Лист2!$A:$A,A485,Лист2!$B:$B,B485)</f>
        <v>12095</v>
      </c>
      <c r="H485">
        <f t="shared" si="14"/>
        <v>385418.25</v>
      </c>
      <c r="I485" s="15">
        <f t="shared" si="15"/>
        <v>21</v>
      </c>
    </row>
    <row r="486" spans="1:9" ht="14.25" customHeight="1" x14ac:dyDescent="0.2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SUMIFS(Лист2!$C:$C,Лист2!$A:$A,A486,Лист2!$B:$B,B486)</f>
        <v>54</v>
      </c>
      <c r="F486" s="7">
        <f>SUMIFS(Лист2!$D:$D,Лист2!$A:$A,A486,Лист2!$B:$B,B486)</f>
        <v>11864</v>
      </c>
      <c r="G486" s="7">
        <f>SUMIFS(Лист2!$E:$E,Лист2!$A:$A,A486,Лист2!$B:$B,B486)</f>
        <v>11071</v>
      </c>
      <c r="H486">
        <f t="shared" si="14"/>
        <v>350262.86111111112</v>
      </c>
      <c r="I486" s="15">
        <f t="shared" si="15"/>
        <v>23</v>
      </c>
    </row>
    <row r="487" spans="1:9" ht="14.25" customHeight="1" x14ac:dyDescent="0.2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SUMIFS(Лист2!$C:$C,Лист2!$A:$A,A487,Лист2!$B:$B,B487)</f>
        <v>54</v>
      </c>
      <c r="F487" s="7">
        <f>SUMIFS(Лист2!$D:$D,Лист2!$A:$A,A487,Лист2!$B:$B,B487)</f>
        <v>10570</v>
      </c>
      <c r="G487" s="7">
        <f>SUMIFS(Лист2!$E:$E,Лист2!$A:$A,A487,Лист2!$B:$B,B487)</f>
        <v>9926</v>
      </c>
      <c r="H487">
        <f t="shared" si="14"/>
        <v>314282.05555555556</v>
      </c>
      <c r="I487" s="15">
        <f t="shared" si="15"/>
        <v>20</v>
      </c>
    </row>
    <row r="488" spans="1:9" ht="14.25" customHeight="1" x14ac:dyDescent="0.2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SUMIFS(Лист2!$C:$C,Лист2!$A:$A,A488,Лист2!$B:$B,B488)</f>
        <v>59</v>
      </c>
      <c r="F488" s="7">
        <f>SUMIFS(Лист2!$D:$D,Лист2!$A:$A,A488,Лист2!$B:$B,B488)</f>
        <v>14507</v>
      </c>
      <c r="G488" s="7">
        <f>SUMIFS(Лист2!$E:$E,Лист2!$A:$A,A488,Лист2!$B:$B,B488)</f>
        <v>13386</v>
      </c>
      <c r="H488">
        <f t="shared" si="14"/>
        <v>391871.92372881353</v>
      </c>
      <c r="I488" s="15">
        <f t="shared" si="15"/>
        <v>22</v>
      </c>
    </row>
    <row r="489" spans="1:9" ht="14.25" customHeight="1" x14ac:dyDescent="0.2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SUMIFS(Лист2!$C:$C,Лист2!$A:$A,A489,Лист2!$B:$B,B489)</f>
        <v>54</v>
      </c>
      <c r="F489" s="7">
        <f>SUMIFS(Лист2!$D:$D,Лист2!$A:$A,A489,Лист2!$B:$B,B489)</f>
        <v>12012</v>
      </c>
      <c r="G489" s="7">
        <f>SUMIFS(Лист2!$E:$E,Лист2!$A:$A,A489,Лист2!$B:$B,B489)</f>
        <v>11308</v>
      </c>
      <c r="H489">
        <f t="shared" si="14"/>
        <v>367687.44444444444</v>
      </c>
      <c r="I489" s="15">
        <f t="shared" si="15"/>
        <v>21</v>
      </c>
    </row>
    <row r="490" spans="1:9" ht="14.25" customHeight="1" x14ac:dyDescent="0.2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SUMIFS(Лист2!$C:$C,Лист2!$A:$A,A490,Лист2!$B:$B,B490)</f>
        <v>54</v>
      </c>
      <c r="F490" s="7">
        <f>SUMIFS(Лист2!$D:$D,Лист2!$A:$A,A490,Лист2!$B:$B,B490)</f>
        <v>11194</v>
      </c>
      <c r="G490" s="7">
        <f>SUMIFS(Лист2!$E:$E,Лист2!$A:$A,A490,Лист2!$B:$B,B490)</f>
        <v>10554</v>
      </c>
      <c r="H490">
        <f t="shared" si="14"/>
        <v>345203.66666666669</v>
      </c>
      <c r="I490" s="15">
        <f t="shared" si="15"/>
        <v>20</v>
      </c>
    </row>
    <row r="491" spans="1:9" ht="14.25" customHeight="1" x14ac:dyDescent="0.2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SUMIFS(Лист2!$C:$C,Лист2!$A:$A,A491,Лист2!$B:$B,B491)</f>
        <v>54</v>
      </c>
      <c r="F491" s="7">
        <f>SUMIFS(Лист2!$D:$D,Лист2!$A:$A,A491,Лист2!$B:$B,B491)</f>
        <v>12791</v>
      </c>
      <c r="G491" s="7">
        <f>SUMIFS(Лист2!$E:$E,Лист2!$A:$A,A491,Лист2!$B:$B,B491)</f>
        <v>11950</v>
      </c>
      <c r="H491">
        <f t="shared" si="14"/>
        <v>405468.41666666669</v>
      </c>
      <c r="I491" s="15">
        <f t="shared" si="15"/>
        <v>20</v>
      </c>
    </row>
    <row r="492" spans="1:9" ht="14.25" customHeight="1" x14ac:dyDescent="0.2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SUMIFS(Лист2!$C:$C,Лист2!$A:$A,A492,Лист2!$B:$B,B492)</f>
        <v>54</v>
      </c>
      <c r="F492" s="7">
        <f>SUMIFS(Лист2!$D:$D,Лист2!$A:$A,A492,Лист2!$B:$B,B492)</f>
        <v>14031</v>
      </c>
      <c r="G492" s="7">
        <f>SUMIFS(Лист2!$E:$E,Лист2!$A:$A,A492,Лист2!$B:$B,B492)</f>
        <v>12943</v>
      </c>
      <c r="H492">
        <f t="shared" si="14"/>
        <v>415113.91666666669</v>
      </c>
      <c r="I492" s="15">
        <f t="shared" si="15"/>
        <v>22</v>
      </c>
    </row>
    <row r="493" spans="1:9" ht="14.25" customHeight="1" x14ac:dyDescent="0.2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SUMIFS(Лист2!$C:$C,Лист2!$A:$A,A493,Лист2!$B:$B,B493)</f>
        <v>7</v>
      </c>
      <c r="F493" s="7">
        <f>SUMIFS(Лист2!$D:$D,Лист2!$A:$A,A493,Лист2!$B:$B,B493)</f>
        <v>409</v>
      </c>
      <c r="G493" s="7">
        <f>SUMIFS(Лист2!$E:$E,Лист2!$A:$A,A493,Лист2!$B:$B,B493)</f>
        <v>329</v>
      </c>
      <c r="H493">
        <f t="shared" si="14"/>
        <v>98240.571428571435</v>
      </c>
      <c r="I493" s="15">
        <f t="shared" si="15"/>
        <v>22</v>
      </c>
    </row>
    <row r="494" spans="1:9" ht="14.25" customHeight="1" x14ac:dyDescent="0.2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SUMIFS(Лист2!$C:$C,Лист2!$A:$A,A494,Лист2!$B:$B,B494)</f>
        <v>18</v>
      </c>
      <c r="F494" s="7">
        <f>SUMIFS(Лист2!$D:$D,Лист2!$A:$A,A494,Лист2!$B:$B,B494)</f>
        <v>985</v>
      </c>
      <c r="G494" s="7">
        <f>SUMIFS(Лист2!$E:$E,Лист2!$A:$A,A494,Лист2!$B:$B,B494)</f>
        <v>861</v>
      </c>
      <c r="H494">
        <f t="shared" si="14"/>
        <v>77709.5</v>
      </c>
      <c r="I494" s="15">
        <f t="shared" si="15"/>
        <v>21</v>
      </c>
    </row>
    <row r="495" spans="1:9" ht="14.25" customHeight="1" x14ac:dyDescent="0.2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SUMIFS(Лист2!$C:$C,Лист2!$A:$A,A495,Лист2!$B:$B,B495)</f>
        <v>9</v>
      </c>
      <c r="F495" s="7">
        <f>SUMIFS(Лист2!$D:$D,Лист2!$A:$A,A495,Лист2!$B:$B,B495)</f>
        <v>294</v>
      </c>
      <c r="G495" s="7">
        <f>SUMIFS(Лист2!$E:$E,Лист2!$A:$A,A495,Лист2!$B:$B,B495)</f>
        <v>224</v>
      </c>
      <c r="H495">
        <f t="shared" si="14"/>
        <v>43223.666666666664</v>
      </c>
      <c r="I495" s="15">
        <f t="shared" si="15"/>
        <v>23</v>
      </c>
    </row>
    <row r="496" spans="1:9" ht="14.25" customHeight="1" x14ac:dyDescent="0.2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SUMIFS(Лист2!$C:$C,Лист2!$A:$A,A496,Лист2!$B:$B,B496)</f>
        <v>15</v>
      </c>
      <c r="F496" s="7">
        <f>SUMIFS(Лист2!$D:$D,Лист2!$A:$A,A496,Лист2!$B:$B,B496)</f>
        <v>654</v>
      </c>
      <c r="G496" s="7">
        <f>SUMIFS(Лист2!$E:$E,Лист2!$A:$A,A496,Лист2!$B:$B,B496)</f>
        <v>564</v>
      </c>
      <c r="H496">
        <f t="shared" si="14"/>
        <v>58690.400000000001</v>
      </c>
      <c r="I496" s="15">
        <f t="shared" si="15"/>
        <v>20</v>
      </c>
    </row>
    <row r="497" spans="1:9" ht="14.25" customHeight="1" x14ac:dyDescent="0.2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SUMIFS(Лист2!$C:$C,Лист2!$A:$A,A497,Лист2!$B:$B,B497)</f>
        <v>16</v>
      </c>
      <c r="F497" s="7">
        <f>SUMIFS(Лист2!$D:$D,Лист2!$A:$A,A497,Лист2!$B:$B,B497)</f>
        <v>864</v>
      </c>
      <c r="G497" s="7">
        <f>SUMIFS(Лист2!$E:$E,Лист2!$A:$A,A497,Лист2!$B:$B,B497)</f>
        <v>765</v>
      </c>
      <c r="H497">
        <f t="shared" si="14"/>
        <v>76919.4375</v>
      </c>
      <c r="I497" s="15">
        <f t="shared" si="15"/>
        <v>21</v>
      </c>
    </row>
    <row r="498" spans="1:9" ht="14.25" customHeight="1" x14ac:dyDescent="0.2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SUMIFS(Лист2!$C:$C,Лист2!$A:$A,A498,Лист2!$B:$B,B498)</f>
        <v>16</v>
      </c>
      <c r="F498" s="7">
        <f>SUMIFS(Лист2!$D:$D,Лист2!$A:$A,A498,Лист2!$B:$B,B498)</f>
        <v>834</v>
      </c>
      <c r="G498" s="7">
        <f>SUMIFS(Лист2!$E:$E,Лист2!$A:$A,A498,Лист2!$B:$B,B498)</f>
        <v>735</v>
      </c>
      <c r="H498">
        <f t="shared" si="14"/>
        <v>70729.78125</v>
      </c>
      <c r="I498" s="15">
        <f t="shared" si="15"/>
        <v>20</v>
      </c>
    </row>
    <row r="499" spans="1:9" ht="14.25" customHeight="1" x14ac:dyDescent="0.2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SUMIFS(Лист2!$C:$C,Лист2!$A:$A,A499,Лист2!$B:$B,B499)</f>
        <v>16</v>
      </c>
      <c r="F499" s="7">
        <f>SUMIFS(Лист2!$D:$D,Лист2!$A:$A,A499,Лист2!$B:$B,B499)</f>
        <v>817</v>
      </c>
      <c r="G499" s="7">
        <f>SUMIFS(Лист2!$E:$E,Лист2!$A:$A,A499,Лист2!$B:$B,B499)</f>
        <v>718</v>
      </c>
      <c r="H499">
        <f t="shared" si="14"/>
        <v>68190</v>
      </c>
      <c r="I499" s="15">
        <f t="shared" si="15"/>
        <v>20</v>
      </c>
    </row>
    <row r="500" spans="1:9" ht="14.25" customHeight="1" x14ac:dyDescent="0.2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SUMIFS(Лист2!$C:$C,Лист2!$A:$A,A500,Лист2!$B:$B,B500)</f>
        <v>18</v>
      </c>
      <c r="F500" s="7">
        <f>SUMIFS(Лист2!$D:$D,Лист2!$A:$A,A500,Лист2!$B:$B,B500)</f>
        <v>962</v>
      </c>
      <c r="G500" s="7">
        <f>SUMIFS(Лист2!$E:$E,Лист2!$A:$A,A500,Лист2!$B:$B,B500)</f>
        <v>859</v>
      </c>
      <c r="H500">
        <f t="shared" si="14"/>
        <v>75011.083333333328</v>
      </c>
      <c r="I500" s="15">
        <f t="shared" si="15"/>
        <v>22</v>
      </c>
    </row>
    <row r="501" spans="1:9" ht="14.25" customHeight="1" x14ac:dyDescent="0.2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SUMIFS(Лист2!$C:$C,Лист2!$A:$A,A501,Лист2!$B:$B,B501)</f>
        <v>6</v>
      </c>
      <c r="F501" s="7">
        <f>SUMIFS(Лист2!$D:$D,Лист2!$A:$A,A501,Лист2!$B:$B,B501)</f>
        <v>237</v>
      </c>
      <c r="G501" s="7">
        <f>SUMIFS(Лист2!$E:$E,Лист2!$A:$A,A501,Лист2!$B:$B,B501)</f>
        <v>175</v>
      </c>
      <c r="H501">
        <f t="shared" si="14"/>
        <v>68482</v>
      </c>
      <c r="I501" s="15">
        <f t="shared" si="15"/>
        <v>23</v>
      </c>
    </row>
    <row r="502" spans="1:9" ht="14.25" customHeight="1" x14ac:dyDescent="0.2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SUMIFS(Лист2!$C:$C,Лист2!$A:$A,A502,Лист2!$B:$B,B502)</f>
        <v>7</v>
      </c>
      <c r="F502" s="7">
        <f>SUMIFS(Лист2!$D:$D,Лист2!$A:$A,A502,Лист2!$B:$B,B502)</f>
        <v>491</v>
      </c>
      <c r="G502" s="7">
        <f>SUMIFS(Лист2!$E:$E,Лист2!$A:$A,A502,Лист2!$B:$B,B502)</f>
        <v>411</v>
      </c>
      <c r="H502">
        <f t="shared" si="14"/>
        <v>121548.64285714286</v>
      </c>
      <c r="I502" s="15">
        <f t="shared" si="15"/>
        <v>22</v>
      </c>
    </row>
    <row r="503" spans="1:9" ht="14.25" customHeight="1" x14ac:dyDescent="0.2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SUMIFS(Лист2!$C:$C,Лист2!$A:$A,A503,Лист2!$B:$B,B503)</f>
        <v>7</v>
      </c>
      <c r="F503" s="7">
        <f>SUMIFS(Лист2!$D:$D,Лист2!$A:$A,A503,Лист2!$B:$B,B503)</f>
        <v>500</v>
      </c>
      <c r="G503" s="7">
        <f>SUMIFS(Лист2!$E:$E,Лист2!$A:$A,A503,Лист2!$B:$B,B503)</f>
        <v>418</v>
      </c>
      <c r="H503">
        <f t="shared" si="14"/>
        <v>114635.35714285714</v>
      </c>
      <c r="I503" s="15">
        <f t="shared" si="15"/>
        <v>23</v>
      </c>
    </row>
    <row r="504" spans="1:9" ht="14.25" customHeight="1" x14ac:dyDescent="0.2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SUMIFS(Лист2!$C:$C,Лист2!$A:$A,A504,Лист2!$B:$B,B504)</f>
        <v>18</v>
      </c>
      <c r="F504" s="7">
        <f>SUMIFS(Лист2!$D:$D,Лист2!$A:$A,A504,Лист2!$B:$B,B504)</f>
        <v>1014</v>
      </c>
      <c r="G504" s="7">
        <f>SUMIFS(Лист2!$E:$E,Лист2!$A:$A,A504,Лист2!$B:$B,B504)</f>
        <v>893</v>
      </c>
      <c r="H504">
        <f t="shared" si="14"/>
        <v>79903.083333333328</v>
      </c>
      <c r="I504" s="15">
        <f t="shared" si="15"/>
        <v>22</v>
      </c>
    </row>
    <row r="505" spans="1:9" ht="14.25" customHeight="1" x14ac:dyDescent="0.2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SUMIFS(Лист2!$C:$C,Лист2!$A:$A,A505,Лист2!$B:$B,B505)</f>
        <v>18</v>
      </c>
      <c r="F505" s="7">
        <f>SUMIFS(Лист2!$D:$D,Лист2!$A:$A,A505,Лист2!$B:$B,B505)</f>
        <v>923</v>
      </c>
      <c r="G505" s="7">
        <f>SUMIFS(Лист2!$E:$E,Лист2!$A:$A,A505,Лист2!$B:$B,B505)</f>
        <v>824</v>
      </c>
      <c r="H505">
        <f t="shared" si="14"/>
        <v>71845.5</v>
      </c>
      <c r="I505" s="15">
        <f t="shared" si="15"/>
        <v>23</v>
      </c>
    </row>
    <row r="506" spans="1:9" ht="14.25" customHeight="1" x14ac:dyDescent="0.2"/>
    <row r="507" spans="1:9" ht="14.25" customHeight="1" x14ac:dyDescent="0.2"/>
    <row r="508" spans="1:9" ht="14.25" customHeight="1" x14ac:dyDescent="0.2"/>
    <row r="509" spans="1:9" ht="14.25" customHeight="1" x14ac:dyDescent="0.2"/>
    <row r="510" spans="1:9" ht="14.25" customHeight="1" x14ac:dyDescent="0.2"/>
    <row r="511" spans="1:9" ht="14.25" customHeight="1" x14ac:dyDescent="0.2"/>
    <row r="512" spans="1:9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5" defaultRowHeight="15" customHeight="1" x14ac:dyDescent="0.2"/>
  <cols>
    <col min="1" max="1" width="10.5" customWidth="1"/>
    <col min="2" max="2" width="22.83203125" customWidth="1"/>
    <col min="3" max="3" width="22.6640625" customWidth="1"/>
    <col min="4" max="4" width="22.1640625" customWidth="1"/>
    <col min="5" max="5" width="25.5" customWidth="1"/>
    <col min="6" max="26" width="8.6640625" customWidth="1"/>
  </cols>
  <sheetData>
    <row r="1" spans="1:5" ht="14.25" customHeight="1" x14ac:dyDescent="0.2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"/>
    <row r="507" spans="1:5" ht="14.25" customHeight="1" x14ac:dyDescent="0.2"/>
    <row r="508" spans="1:5" ht="14.25" customHeight="1" x14ac:dyDescent="0.2"/>
    <row r="509" spans="1:5" ht="14.25" customHeight="1" x14ac:dyDescent="0.2"/>
    <row r="510" spans="1:5" ht="14.25" customHeight="1" x14ac:dyDescent="0.2"/>
    <row r="511" spans="1:5" ht="14.25" customHeight="1" x14ac:dyDescent="0.2"/>
    <row r="512" spans="1:5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767A-781F-D842-8A2A-F80BD82E21EC}">
  <dimension ref="A3:D102"/>
  <sheetViews>
    <sheetView topLeftCell="A65" workbookViewId="0">
      <selection activeCell="A3" sqref="A3:XFD3"/>
    </sheetView>
  </sheetViews>
  <sheetFormatPr baseColWidth="10" defaultRowHeight="15" x14ac:dyDescent="0.2"/>
  <cols>
    <col min="1" max="1" width="23" bestFit="1" customWidth="1"/>
    <col min="2" max="2" width="29.5" bestFit="1" customWidth="1"/>
    <col min="3" max="3" width="28.83203125" bestFit="1" customWidth="1"/>
    <col min="4" max="4" width="20.1640625" bestFit="1" customWidth="1"/>
    <col min="5" max="5" width="9.1640625" bestFit="1" customWidth="1"/>
    <col min="6" max="8" width="7.1640625" bestFit="1" customWidth="1"/>
    <col min="9" max="9" width="9.1640625" bestFit="1" customWidth="1"/>
    <col min="10" max="10" width="7.1640625" bestFit="1" customWidth="1"/>
    <col min="11" max="13" width="9.1640625" bestFit="1" customWidth="1"/>
    <col min="14" max="17" width="7.1640625" bestFit="1" customWidth="1"/>
    <col min="18" max="19" width="9.1640625" bestFit="1" customWidth="1"/>
    <col min="20" max="20" width="7.1640625" bestFit="1" customWidth="1"/>
    <col min="21" max="21" width="9.1640625" bestFit="1" customWidth="1"/>
    <col min="22" max="22" width="7.1640625" bestFit="1" customWidth="1"/>
    <col min="23" max="23" width="9.1640625" bestFit="1" customWidth="1"/>
    <col min="24" max="24" width="7.1640625" bestFit="1" customWidth="1"/>
    <col min="25" max="29" width="9.1640625" bestFit="1" customWidth="1"/>
    <col min="30" max="30" width="7.1640625" bestFit="1" customWidth="1"/>
    <col min="31" max="31" width="9.1640625" bestFit="1" customWidth="1"/>
    <col min="32" max="33" width="7.1640625" bestFit="1" customWidth="1"/>
    <col min="34" max="34" width="8.1640625" bestFit="1" customWidth="1"/>
    <col min="35" max="38" width="9.1640625" bestFit="1" customWidth="1"/>
    <col min="39" max="39" width="8.1640625" bestFit="1" customWidth="1"/>
    <col min="40" max="40" width="7.1640625" bestFit="1" customWidth="1"/>
    <col min="41" max="41" width="8.1640625" bestFit="1" customWidth="1"/>
    <col min="42" max="45" width="9.1640625" bestFit="1" customWidth="1"/>
    <col min="46" max="46" width="7.1640625" bestFit="1" customWidth="1"/>
    <col min="47" max="47" width="9.1640625" bestFit="1" customWidth="1"/>
    <col min="48" max="48" width="8.1640625" bestFit="1" customWidth="1"/>
    <col min="49" max="51" width="9.1640625" bestFit="1" customWidth="1"/>
    <col min="52" max="52" width="8.1640625" bestFit="1" customWidth="1"/>
    <col min="53" max="53" width="9.1640625" bestFit="1" customWidth="1"/>
    <col min="54" max="54" width="7.1640625" bestFit="1" customWidth="1"/>
    <col min="55" max="55" width="10.1640625" bestFit="1" customWidth="1"/>
    <col min="56" max="56" width="8.1640625" bestFit="1" customWidth="1"/>
    <col min="57" max="59" width="10.1640625" bestFit="1" customWidth="1"/>
    <col min="60" max="64" width="8.1640625" bestFit="1" customWidth="1"/>
    <col min="65" max="65" width="10.1640625" bestFit="1" customWidth="1"/>
    <col min="66" max="66" width="9.1640625" bestFit="1" customWidth="1"/>
    <col min="67" max="69" width="10.1640625" bestFit="1" customWidth="1"/>
    <col min="70" max="70" width="7.1640625" bestFit="1" customWidth="1"/>
    <col min="71" max="74" width="8.1640625" bestFit="1" customWidth="1"/>
    <col min="75" max="75" width="10.1640625" bestFit="1" customWidth="1"/>
    <col min="76" max="76" width="8.1640625" bestFit="1" customWidth="1"/>
    <col min="77" max="77" width="10.1640625" bestFit="1" customWidth="1"/>
    <col min="78" max="78" width="8.1640625" bestFit="1" customWidth="1"/>
    <col min="79" max="83" width="10.1640625" bestFit="1" customWidth="1"/>
    <col min="84" max="89" width="8.1640625" bestFit="1" customWidth="1"/>
    <col min="90" max="91" width="10.1640625" bestFit="1" customWidth="1"/>
    <col min="92" max="93" width="8.1640625" bestFit="1" customWidth="1"/>
    <col min="94" max="94" width="10.1640625" bestFit="1" customWidth="1"/>
    <col min="95" max="95" width="8.1640625" bestFit="1" customWidth="1"/>
    <col min="96" max="96" width="10.1640625" bestFit="1" customWidth="1"/>
    <col min="97" max="98" width="8.1640625" bestFit="1" customWidth="1"/>
    <col min="99" max="99" width="10.1640625" bestFit="1" customWidth="1"/>
    <col min="100" max="101" width="8.1640625" bestFit="1" customWidth="1"/>
    <col min="102" max="108" width="10.1640625" bestFit="1" customWidth="1"/>
    <col min="109" max="113" width="8.1640625" bestFit="1" customWidth="1"/>
    <col min="114" max="115" width="10.1640625" bestFit="1" customWidth="1"/>
    <col min="116" max="116" width="8.1640625" bestFit="1" customWidth="1"/>
    <col min="117" max="119" width="10.1640625" bestFit="1" customWidth="1"/>
    <col min="120" max="120" width="8.1640625" bestFit="1" customWidth="1"/>
    <col min="121" max="121" width="10.1640625" bestFit="1" customWidth="1"/>
    <col min="122" max="124" width="8.1640625" bestFit="1" customWidth="1"/>
    <col min="125" max="129" width="10.1640625" bestFit="1" customWidth="1"/>
    <col min="130" max="130" width="8.1640625" bestFit="1" customWidth="1"/>
    <col min="131" max="131" width="10.1640625" bestFit="1" customWidth="1"/>
    <col min="132" max="132" width="8.1640625" bestFit="1" customWidth="1"/>
    <col min="133" max="134" width="10.1640625" bestFit="1" customWidth="1"/>
    <col min="135" max="137" width="8.1640625" bestFit="1" customWidth="1"/>
    <col min="138" max="142" width="10.1640625" bestFit="1" customWidth="1"/>
    <col min="143" max="143" width="8.1640625" bestFit="1" customWidth="1"/>
    <col min="144" max="146" width="10.1640625" bestFit="1" customWidth="1"/>
    <col min="147" max="147" width="8.1640625" bestFit="1" customWidth="1"/>
    <col min="148" max="150" width="10.1640625" bestFit="1" customWidth="1"/>
    <col min="151" max="151" width="8.1640625" bestFit="1" customWidth="1"/>
    <col min="152" max="152" width="10.1640625" bestFit="1" customWidth="1"/>
    <col min="153" max="154" width="8.1640625" bestFit="1" customWidth="1"/>
    <col min="155" max="155" width="10.1640625" bestFit="1" customWidth="1"/>
    <col min="156" max="156" width="8.1640625" bestFit="1" customWidth="1"/>
    <col min="157" max="158" width="10.1640625" bestFit="1" customWidth="1"/>
    <col min="159" max="161" width="8.1640625" bestFit="1" customWidth="1"/>
    <col min="162" max="162" width="10.1640625" bestFit="1" customWidth="1"/>
    <col min="163" max="165" width="8.1640625" bestFit="1" customWidth="1"/>
    <col min="166" max="168" width="10.1640625" bestFit="1" customWidth="1"/>
    <col min="169" max="169" width="8.1640625" bestFit="1" customWidth="1"/>
    <col min="170" max="170" width="10.1640625" bestFit="1" customWidth="1"/>
    <col min="171" max="171" width="8.1640625" bestFit="1" customWidth="1"/>
    <col min="172" max="172" width="10.1640625" bestFit="1" customWidth="1"/>
    <col min="173" max="173" width="8.1640625" bestFit="1" customWidth="1"/>
    <col min="174" max="174" width="10.1640625" bestFit="1" customWidth="1"/>
    <col min="175" max="177" width="8.1640625" bestFit="1" customWidth="1"/>
    <col min="178" max="178" width="10.1640625" bestFit="1" customWidth="1"/>
    <col min="179" max="179" width="8.1640625" bestFit="1" customWidth="1"/>
    <col min="180" max="183" width="10.1640625" bestFit="1" customWidth="1"/>
    <col min="184" max="184" width="8.1640625" bestFit="1" customWidth="1"/>
    <col min="185" max="185" width="10.1640625" bestFit="1" customWidth="1"/>
    <col min="186" max="187" width="8.1640625" bestFit="1" customWidth="1"/>
    <col min="188" max="188" width="10.1640625" bestFit="1" customWidth="1"/>
    <col min="189" max="191" width="8.1640625" bestFit="1" customWidth="1"/>
    <col min="192" max="196" width="10.1640625" bestFit="1" customWidth="1"/>
    <col min="197" max="204" width="8.1640625" bestFit="1" customWidth="1"/>
    <col min="205" max="205" width="10.1640625" bestFit="1" customWidth="1"/>
    <col min="206" max="209" width="8.1640625" bestFit="1" customWidth="1"/>
    <col min="210" max="210" width="10.1640625" bestFit="1" customWidth="1"/>
    <col min="211" max="212" width="8.1640625" bestFit="1" customWidth="1"/>
    <col min="213" max="216" width="10.1640625" bestFit="1" customWidth="1"/>
    <col min="217" max="219" width="8.1640625" bestFit="1" customWidth="1"/>
    <col min="220" max="221" width="10.1640625" bestFit="1" customWidth="1"/>
    <col min="222" max="223" width="8.1640625" bestFit="1" customWidth="1"/>
    <col min="224" max="226" width="10.1640625" bestFit="1" customWidth="1"/>
    <col min="227" max="228" width="8.1640625" bestFit="1" customWidth="1"/>
    <col min="229" max="234" width="10.1640625" bestFit="1" customWidth="1"/>
    <col min="235" max="236" width="8.1640625" bestFit="1" customWidth="1"/>
    <col min="237" max="238" width="10.1640625" bestFit="1" customWidth="1"/>
    <col min="239" max="239" width="8.1640625" bestFit="1" customWidth="1"/>
    <col min="240" max="241" width="10.1640625" bestFit="1" customWidth="1"/>
    <col min="242" max="243" width="8.1640625" bestFit="1" customWidth="1"/>
    <col min="244" max="246" width="10.1640625" bestFit="1" customWidth="1"/>
    <col min="247" max="250" width="8.1640625" bestFit="1" customWidth="1"/>
    <col min="251" max="255" width="10.1640625" bestFit="1" customWidth="1"/>
    <col min="256" max="256" width="8.1640625" bestFit="1" customWidth="1"/>
    <col min="257" max="257" width="10.1640625" bestFit="1" customWidth="1"/>
    <col min="258" max="260" width="8.1640625" bestFit="1" customWidth="1"/>
    <col min="261" max="261" width="10.1640625" bestFit="1" customWidth="1"/>
    <col min="262" max="263" width="8.1640625" bestFit="1" customWidth="1"/>
    <col min="264" max="265" width="10.1640625" bestFit="1" customWidth="1"/>
    <col min="266" max="266" width="8.1640625" bestFit="1" customWidth="1"/>
    <col min="267" max="267" width="10.1640625" bestFit="1" customWidth="1"/>
    <col min="268" max="268" width="8.1640625" bestFit="1" customWidth="1"/>
    <col min="269" max="269" width="10.1640625" bestFit="1" customWidth="1"/>
    <col min="270" max="270" width="8.1640625" bestFit="1" customWidth="1"/>
    <col min="271" max="274" width="10.1640625" bestFit="1" customWidth="1"/>
    <col min="275" max="275" width="8.1640625" bestFit="1" customWidth="1"/>
    <col min="276" max="276" width="10.1640625" bestFit="1" customWidth="1"/>
    <col min="277" max="279" width="8.1640625" bestFit="1" customWidth="1"/>
    <col min="280" max="280" width="10.1640625" bestFit="1" customWidth="1"/>
    <col min="281" max="281" width="8.1640625" bestFit="1" customWidth="1"/>
    <col min="282" max="283" width="10.1640625" bestFit="1" customWidth="1"/>
    <col min="284" max="284" width="8.1640625" bestFit="1" customWidth="1"/>
    <col min="285" max="286" width="10.1640625" bestFit="1" customWidth="1"/>
    <col min="287" max="287" width="8.1640625" bestFit="1" customWidth="1"/>
    <col min="288" max="288" width="10.1640625" bestFit="1" customWidth="1"/>
    <col min="289" max="290" width="8.1640625" bestFit="1" customWidth="1"/>
    <col min="291" max="293" width="10.1640625" bestFit="1" customWidth="1"/>
    <col min="294" max="294" width="8.1640625" bestFit="1" customWidth="1"/>
    <col min="295" max="301" width="10.1640625" bestFit="1" customWidth="1"/>
    <col min="302" max="304" width="8.1640625" bestFit="1" customWidth="1"/>
    <col min="305" max="305" width="10.1640625" bestFit="1" customWidth="1"/>
    <col min="306" max="307" width="8.1640625" bestFit="1" customWidth="1"/>
    <col min="308" max="308" width="10.1640625" bestFit="1" customWidth="1"/>
    <col min="309" max="310" width="8.1640625" bestFit="1" customWidth="1"/>
    <col min="311" max="311" width="10.1640625" bestFit="1" customWidth="1"/>
    <col min="312" max="312" width="8.1640625" bestFit="1" customWidth="1"/>
    <col min="313" max="314" width="10.1640625" bestFit="1" customWidth="1"/>
    <col min="315" max="315" width="8.1640625" bestFit="1" customWidth="1"/>
    <col min="316" max="317" width="10.1640625" bestFit="1" customWidth="1"/>
    <col min="318" max="321" width="8.1640625" bestFit="1" customWidth="1"/>
    <col min="322" max="323" width="10.1640625" bestFit="1" customWidth="1"/>
    <col min="324" max="327" width="8.1640625" bestFit="1" customWidth="1"/>
    <col min="328" max="329" width="10.1640625" bestFit="1" customWidth="1"/>
    <col min="330" max="332" width="8.1640625" bestFit="1" customWidth="1"/>
    <col min="333" max="335" width="10.1640625" bestFit="1" customWidth="1"/>
    <col min="336" max="336" width="8.1640625" bestFit="1" customWidth="1"/>
    <col min="337" max="337" width="10.1640625" bestFit="1" customWidth="1"/>
    <col min="338" max="338" width="8.1640625" bestFit="1" customWidth="1"/>
    <col min="339" max="344" width="10.1640625" bestFit="1" customWidth="1"/>
    <col min="345" max="345" width="8.1640625" bestFit="1" customWidth="1"/>
    <col min="346" max="346" width="10.1640625" bestFit="1" customWidth="1"/>
    <col min="347" max="352" width="8.1640625" bestFit="1" customWidth="1"/>
    <col min="353" max="355" width="10.1640625" bestFit="1" customWidth="1"/>
    <col min="356" max="356" width="8.1640625" bestFit="1" customWidth="1"/>
    <col min="357" max="358" width="10.1640625" bestFit="1" customWidth="1"/>
    <col min="359" max="360" width="8.1640625" bestFit="1" customWidth="1"/>
    <col min="361" max="361" width="9.1640625" bestFit="1" customWidth="1"/>
    <col min="362" max="363" width="10.1640625" bestFit="1" customWidth="1"/>
    <col min="364" max="365" width="9.1640625" bestFit="1" customWidth="1"/>
    <col min="366" max="368" width="11.1640625" bestFit="1" customWidth="1"/>
    <col min="369" max="371" width="9.1640625" bestFit="1" customWidth="1"/>
    <col min="372" max="377" width="11.1640625" bestFit="1" customWidth="1"/>
    <col min="378" max="381" width="9.1640625" bestFit="1" customWidth="1"/>
    <col min="382" max="382" width="11.1640625" bestFit="1" customWidth="1"/>
    <col min="383" max="383" width="9.1640625" bestFit="1" customWidth="1"/>
    <col min="384" max="386" width="11.1640625" bestFit="1" customWidth="1"/>
    <col min="387" max="387" width="9.1640625" bestFit="1" customWidth="1"/>
    <col min="388" max="392" width="11.1640625" bestFit="1" customWidth="1"/>
    <col min="393" max="393" width="9.1640625" bestFit="1" customWidth="1"/>
    <col min="394" max="394" width="11.1640625" bestFit="1" customWidth="1"/>
    <col min="395" max="396" width="9.1640625" bestFit="1" customWidth="1"/>
    <col min="397" max="399" width="11.1640625" bestFit="1" customWidth="1"/>
    <col min="400" max="400" width="9.1640625" bestFit="1" customWidth="1"/>
    <col min="401" max="405" width="11.1640625" bestFit="1" customWidth="1"/>
    <col min="406" max="407" width="9.1640625" bestFit="1" customWidth="1"/>
    <col min="408" max="408" width="11.1640625" bestFit="1" customWidth="1"/>
    <col min="409" max="409" width="9.1640625" bestFit="1" customWidth="1"/>
    <col min="410" max="410" width="11.1640625" bestFit="1" customWidth="1"/>
    <col min="411" max="412" width="9.1640625" bestFit="1" customWidth="1"/>
    <col min="413" max="415" width="11.1640625" bestFit="1" customWidth="1"/>
    <col min="416" max="416" width="9.1640625" bestFit="1" customWidth="1"/>
    <col min="417" max="417" width="11.1640625" bestFit="1" customWidth="1"/>
    <col min="418" max="419" width="9.1640625" bestFit="1" customWidth="1"/>
    <col min="420" max="420" width="11.1640625" bestFit="1" customWidth="1"/>
    <col min="421" max="421" width="9.1640625" bestFit="1" customWidth="1"/>
    <col min="422" max="423" width="11.1640625" bestFit="1" customWidth="1"/>
    <col min="424" max="424" width="9.1640625" bestFit="1" customWidth="1"/>
    <col min="425" max="425" width="12.1640625" bestFit="1" customWidth="1"/>
    <col min="426" max="427" width="9.1640625" bestFit="1" customWidth="1"/>
    <col min="428" max="428" width="11.1640625" bestFit="1" customWidth="1"/>
    <col min="429" max="429" width="9.1640625" bestFit="1" customWidth="1"/>
    <col min="430" max="431" width="11.1640625" bestFit="1" customWidth="1"/>
    <col min="432" max="432" width="9.1640625" bestFit="1" customWidth="1"/>
    <col min="433" max="435" width="11.1640625" bestFit="1" customWidth="1"/>
    <col min="436" max="436" width="12.1640625" bestFit="1" customWidth="1"/>
    <col min="437" max="439" width="11.1640625" bestFit="1" customWidth="1"/>
    <col min="440" max="440" width="12.1640625" bestFit="1" customWidth="1"/>
    <col min="441" max="444" width="9.1640625" bestFit="1" customWidth="1"/>
    <col min="445" max="445" width="11.1640625" bestFit="1" customWidth="1"/>
    <col min="446" max="447" width="12.1640625" bestFit="1" customWidth="1"/>
    <col min="448" max="450" width="9.1640625" bestFit="1" customWidth="1"/>
    <col min="451" max="451" width="11.1640625" bestFit="1" customWidth="1"/>
    <col min="452" max="452" width="9.1640625" bestFit="1" customWidth="1"/>
    <col min="453" max="453" width="12.1640625" bestFit="1" customWidth="1"/>
    <col min="454" max="455" width="9.1640625" bestFit="1" customWidth="1"/>
    <col min="456" max="456" width="11.1640625" bestFit="1" customWidth="1"/>
    <col min="457" max="457" width="9.1640625" bestFit="1" customWidth="1"/>
    <col min="458" max="458" width="11.1640625" bestFit="1" customWidth="1"/>
    <col min="459" max="459" width="9.1640625" bestFit="1" customWidth="1"/>
    <col min="460" max="460" width="11.1640625" bestFit="1" customWidth="1"/>
    <col min="461" max="461" width="12.1640625" bestFit="1" customWidth="1"/>
    <col min="462" max="468" width="9.1640625" bestFit="1" customWidth="1"/>
    <col min="469" max="469" width="11.1640625" bestFit="1" customWidth="1"/>
    <col min="470" max="470" width="12.1640625" bestFit="1" customWidth="1"/>
    <col min="471" max="471" width="9.1640625" bestFit="1" customWidth="1"/>
    <col min="472" max="472" width="11.1640625" bestFit="1" customWidth="1"/>
    <col min="473" max="474" width="9.1640625" bestFit="1" customWidth="1"/>
    <col min="475" max="475" width="12.1640625" bestFit="1" customWidth="1"/>
    <col min="476" max="476" width="9.1640625" bestFit="1" customWidth="1"/>
    <col min="477" max="477" width="11.1640625" bestFit="1" customWidth="1"/>
    <col min="478" max="480" width="9.1640625" bestFit="1" customWidth="1"/>
    <col min="481" max="482" width="11.1640625" bestFit="1" customWidth="1"/>
    <col min="483" max="483" width="9.1640625" bestFit="1" customWidth="1"/>
    <col min="484" max="487" width="11.1640625" bestFit="1" customWidth="1"/>
    <col min="488" max="488" width="9.1640625" bestFit="1" customWidth="1"/>
    <col min="489" max="490" width="11.1640625" bestFit="1" customWidth="1"/>
    <col min="491" max="491" width="12.1640625" bestFit="1" customWidth="1"/>
    <col min="492" max="494" width="9.1640625" bestFit="1" customWidth="1"/>
    <col min="495" max="496" width="11.1640625" bestFit="1" customWidth="1"/>
    <col min="497" max="498" width="9.1640625" bestFit="1" customWidth="1"/>
    <col min="499" max="499" width="12.1640625" bestFit="1" customWidth="1"/>
    <col min="500" max="501" width="9.1640625" bestFit="1" customWidth="1"/>
    <col min="502" max="502" width="11.1640625" bestFit="1" customWidth="1"/>
    <col min="503" max="503" width="9.1640625" bestFit="1" customWidth="1"/>
    <col min="504" max="504" width="28.83203125" bestFit="1" customWidth="1"/>
    <col min="505" max="506" width="7.1640625" bestFit="1" customWidth="1"/>
    <col min="507" max="508" width="5.1640625" bestFit="1" customWidth="1"/>
    <col min="509" max="512" width="7.1640625" bestFit="1" customWidth="1"/>
    <col min="513" max="515" width="5.1640625" bestFit="1" customWidth="1"/>
    <col min="516" max="516" width="7.1640625" bestFit="1" customWidth="1"/>
    <col min="517" max="517" width="5.1640625" bestFit="1" customWidth="1"/>
    <col min="518" max="523" width="7.1640625" bestFit="1" customWidth="1"/>
    <col min="524" max="524" width="5.1640625" bestFit="1" customWidth="1"/>
    <col min="525" max="527" width="7.1640625" bestFit="1" customWidth="1"/>
    <col min="528" max="528" width="5.1640625" bestFit="1" customWidth="1"/>
    <col min="529" max="529" width="7.1640625" bestFit="1" customWidth="1"/>
    <col min="530" max="531" width="5.1640625" bestFit="1" customWidth="1"/>
    <col min="532" max="532" width="7.1640625" bestFit="1" customWidth="1"/>
    <col min="533" max="533" width="8.1640625" bestFit="1" customWidth="1"/>
    <col min="534" max="535" width="6.1640625" bestFit="1" customWidth="1"/>
    <col min="536" max="536" width="8.1640625" bestFit="1" customWidth="1"/>
    <col min="537" max="537" width="6.1640625" bestFit="1" customWidth="1"/>
    <col min="538" max="538" width="8.1640625" bestFit="1" customWidth="1"/>
    <col min="539" max="540" width="6.1640625" bestFit="1" customWidth="1"/>
    <col min="541" max="541" width="8.1640625" bestFit="1" customWidth="1"/>
    <col min="542" max="542" width="6.1640625" bestFit="1" customWidth="1"/>
    <col min="543" max="545" width="8.1640625" bestFit="1" customWidth="1"/>
    <col min="546" max="548" width="6.1640625" bestFit="1" customWidth="1"/>
    <col min="549" max="550" width="8.1640625" bestFit="1" customWidth="1"/>
    <col min="551" max="552" width="6.1640625" bestFit="1" customWidth="1"/>
    <col min="553" max="554" width="8.1640625" bestFit="1" customWidth="1"/>
    <col min="555" max="558" width="6.1640625" bestFit="1" customWidth="1"/>
    <col min="559" max="559" width="8.1640625" bestFit="1" customWidth="1"/>
    <col min="560" max="560" width="6.1640625" bestFit="1" customWidth="1"/>
    <col min="561" max="568" width="8.1640625" bestFit="1" customWidth="1"/>
    <col min="569" max="570" width="6.1640625" bestFit="1" customWidth="1"/>
    <col min="571" max="571" width="8.1640625" bestFit="1" customWidth="1"/>
    <col min="572" max="572" width="6.1640625" bestFit="1" customWidth="1"/>
    <col min="573" max="573" width="8.1640625" bestFit="1" customWidth="1"/>
    <col min="574" max="577" width="6.1640625" bestFit="1" customWidth="1"/>
    <col min="578" max="578" width="8.1640625" bestFit="1" customWidth="1"/>
    <col min="579" max="579" width="6.1640625" bestFit="1" customWidth="1"/>
    <col min="580" max="580" width="8.1640625" bestFit="1" customWidth="1"/>
    <col min="581" max="582" width="6.1640625" bestFit="1" customWidth="1"/>
    <col min="583" max="583" width="8.1640625" bestFit="1" customWidth="1"/>
    <col min="584" max="585" width="6.1640625" bestFit="1" customWidth="1"/>
    <col min="586" max="587" width="8.1640625" bestFit="1" customWidth="1"/>
    <col min="588" max="588" width="6.1640625" bestFit="1" customWidth="1"/>
    <col min="589" max="589" width="8.1640625" bestFit="1" customWidth="1"/>
    <col min="590" max="590" width="6.1640625" bestFit="1" customWidth="1"/>
    <col min="591" max="591" width="8.1640625" bestFit="1" customWidth="1"/>
    <col min="592" max="595" width="6.1640625" bestFit="1" customWidth="1"/>
    <col min="596" max="597" width="8.1640625" bestFit="1" customWidth="1"/>
    <col min="598" max="598" width="6.1640625" bestFit="1" customWidth="1"/>
    <col min="599" max="599" width="8.1640625" bestFit="1" customWidth="1"/>
    <col min="600" max="600" width="6.1640625" bestFit="1" customWidth="1"/>
    <col min="601" max="602" width="8.1640625" bestFit="1" customWidth="1"/>
    <col min="603" max="604" width="6.1640625" bestFit="1" customWidth="1"/>
    <col min="605" max="606" width="8.1640625" bestFit="1" customWidth="1"/>
    <col min="607" max="607" width="6.1640625" bestFit="1" customWidth="1"/>
    <col min="608" max="608" width="8.1640625" bestFit="1" customWidth="1"/>
    <col min="609" max="610" width="6.1640625" bestFit="1" customWidth="1"/>
    <col min="611" max="613" width="8.1640625" bestFit="1" customWidth="1"/>
    <col min="614" max="614" width="6.1640625" bestFit="1" customWidth="1"/>
    <col min="615" max="616" width="8.1640625" bestFit="1" customWidth="1"/>
    <col min="617" max="622" width="6.1640625" bestFit="1" customWidth="1"/>
    <col min="623" max="623" width="8.1640625" bestFit="1" customWidth="1"/>
    <col min="624" max="626" width="6.1640625" bestFit="1" customWidth="1"/>
    <col min="627" max="627" width="8.1640625" bestFit="1" customWidth="1"/>
    <col min="628" max="628" width="6.1640625" bestFit="1" customWidth="1"/>
    <col min="629" max="629" width="8.1640625" bestFit="1" customWidth="1"/>
    <col min="630" max="630" width="6.1640625" bestFit="1" customWidth="1"/>
    <col min="631" max="631" width="8.1640625" bestFit="1" customWidth="1"/>
    <col min="632" max="634" width="6.1640625" bestFit="1" customWidth="1"/>
    <col min="635" max="635" width="8.1640625" bestFit="1" customWidth="1"/>
    <col min="636" max="636" width="6.1640625" bestFit="1" customWidth="1"/>
    <col min="637" max="637" width="8.1640625" bestFit="1" customWidth="1"/>
    <col min="638" max="638" width="6.1640625" bestFit="1" customWidth="1"/>
    <col min="639" max="640" width="8.1640625" bestFit="1" customWidth="1"/>
    <col min="641" max="641" width="6.1640625" bestFit="1" customWidth="1"/>
    <col min="642" max="642" width="8.1640625" bestFit="1" customWidth="1"/>
    <col min="643" max="643" width="6.1640625" bestFit="1" customWidth="1"/>
    <col min="644" max="644" width="8.1640625" bestFit="1" customWidth="1"/>
    <col min="645" max="649" width="6.1640625" bestFit="1" customWidth="1"/>
    <col min="650" max="650" width="8.1640625" bestFit="1" customWidth="1"/>
    <col min="651" max="654" width="6.1640625" bestFit="1" customWidth="1"/>
    <col min="655" max="655" width="8.1640625" bestFit="1" customWidth="1"/>
    <col min="656" max="656" width="6.1640625" bestFit="1" customWidth="1"/>
    <col min="657" max="657" width="8.1640625" bestFit="1" customWidth="1"/>
    <col min="658" max="658" width="6.1640625" bestFit="1" customWidth="1"/>
    <col min="659" max="664" width="8.1640625" bestFit="1" customWidth="1"/>
    <col min="665" max="667" width="6.1640625" bestFit="1" customWidth="1"/>
    <col min="668" max="668" width="8.1640625" bestFit="1" customWidth="1"/>
    <col min="669" max="669" width="6.1640625" bestFit="1" customWidth="1"/>
    <col min="670" max="671" width="8.1640625" bestFit="1" customWidth="1"/>
    <col min="672" max="674" width="6.1640625" bestFit="1" customWidth="1"/>
    <col min="675" max="676" width="8.1640625" bestFit="1" customWidth="1"/>
    <col min="677" max="677" width="6.1640625" bestFit="1" customWidth="1"/>
    <col min="678" max="678" width="8.1640625" bestFit="1" customWidth="1"/>
    <col min="679" max="682" width="6.1640625" bestFit="1" customWidth="1"/>
    <col min="683" max="684" width="8.1640625" bestFit="1" customWidth="1"/>
    <col min="685" max="688" width="6.1640625" bestFit="1" customWidth="1"/>
    <col min="689" max="691" width="8.1640625" bestFit="1" customWidth="1"/>
    <col min="692" max="692" width="6.1640625" bestFit="1" customWidth="1"/>
    <col min="693" max="693" width="8.1640625" bestFit="1" customWidth="1"/>
    <col min="694" max="696" width="6.1640625" bestFit="1" customWidth="1"/>
    <col min="697" max="697" width="8.1640625" bestFit="1" customWidth="1"/>
    <col min="698" max="700" width="6.1640625" bestFit="1" customWidth="1"/>
    <col min="701" max="702" width="8.1640625" bestFit="1" customWidth="1"/>
    <col min="703" max="708" width="6.1640625" bestFit="1" customWidth="1"/>
    <col min="709" max="709" width="8.1640625" bestFit="1" customWidth="1"/>
    <col min="710" max="710" width="6.1640625" bestFit="1" customWidth="1"/>
    <col min="711" max="712" width="8.1640625" bestFit="1" customWidth="1"/>
    <col min="713" max="714" width="6.1640625" bestFit="1" customWidth="1"/>
    <col min="715" max="715" width="8.1640625" bestFit="1" customWidth="1"/>
    <col min="716" max="718" width="6.1640625" bestFit="1" customWidth="1"/>
    <col min="719" max="721" width="8.1640625" bestFit="1" customWidth="1"/>
    <col min="722" max="722" width="6.1640625" bestFit="1" customWidth="1"/>
    <col min="723" max="723" width="8.1640625" bestFit="1" customWidth="1"/>
    <col min="724" max="726" width="6.1640625" bestFit="1" customWidth="1"/>
    <col min="727" max="728" width="8.1640625" bestFit="1" customWidth="1"/>
    <col min="729" max="735" width="6.1640625" bestFit="1" customWidth="1"/>
    <col min="736" max="736" width="8.1640625" bestFit="1" customWidth="1"/>
    <col min="737" max="737" width="6.1640625" bestFit="1" customWidth="1"/>
    <col min="738" max="738" width="8.1640625" bestFit="1" customWidth="1"/>
    <col min="739" max="739" width="6.1640625" bestFit="1" customWidth="1"/>
    <col min="740" max="743" width="8.1640625" bestFit="1" customWidth="1"/>
    <col min="744" max="746" width="6.1640625" bestFit="1" customWidth="1"/>
    <col min="747" max="747" width="8.1640625" bestFit="1" customWidth="1"/>
    <col min="748" max="748" width="6.1640625" bestFit="1" customWidth="1"/>
    <col min="749" max="750" width="8.1640625" bestFit="1" customWidth="1"/>
    <col min="751" max="751" width="6.1640625" bestFit="1" customWidth="1"/>
    <col min="752" max="752" width="8.1640625" bestFit="1" customWidth="1"/>
    <col min="753" max="753" width="6.1640625" bestFit="1" customWidth="1"/>
    <col min="754" max="756" width="8.1640625" bestFit="1" customWidth="1"/>
    <col min="757" max="757" width="6.1640625" bestFit="1" customWidth="1"/>
    <col min="758" max="758" width="8.1640625" bestFit="1" customWidth="1"/>
    <col min="759" max="761" width="6.1640625" bestFit="1" customWidth="1"/>
    <col min="762" max="763" width="8.1640625" bestFit="1" customWidth="1"/>
    <col min="764" max="765" width="6.1640625" bestFit="1" customWidth="1"/>
    <col min="766" max="769" width="8.1640625" bestFit="1" customWidth="1"/>
    <col min="770" max="770" width="6.1640625" bestFit="1" customWidth="1"/>
    <col min="771" max="774" width="8.1640625" bestFit="1" customWidth="1"/>
    <col min="775" max="775" width="6.1640625" bestFit="1" customWidth="1"/>
    <col min="776" max="777" width="8.1640625" bestFit="1" customWidth="1"/>
    <col min="778" max="778" width="6.1640625" bestFit="1" customWidth="1"/>
    <col min="779" max="782" width="8.1640625" bestFit="1" customWidth="1"/>
    <col min="783" max="785" width="6.1640625" bestFit="1" customWidth="1"/>
    <col min="786" max="786" width="8.1640625" bestFit="1" customWidth="1"/>
    <col min="787" max="787" width="6.1640625" bestFit="1" customWidth="1"/>
    <col min="788" max="788" width="8.1640625" bestFit="1" customWidth="1"/>
    <col min="789" max="790" width="6.1640625" bestFit="1" customWidth="1"/>
    <col min="791" max="793" width="8.1640625" bestFit="1" customWidth="1"/>
    <col min="794" max="794" width="6.1640625" bestFit="1" customWidth="1"/>
    <col min="795" max="795" width="8.1640625" bestFit="1" customWidth="1"/>
    <col min="796" max="797" width="6.1640625" bestFit="1" customWidth="1"/>
    <col min="798" max="799" width="8.1640625" bestFit="1" customWidth="1"/>
    <col min="800" max="801" width="6.1640625" bestFit="1" customWidth="1"/>
    <col min="802" max="803" width="8.1640625" bestFit="1" customWidth="1"/>
    <col min="804" max="804" width="6.1640625" bestFit="1" customWidth="1"/>
    <col min="805" max="805" width="8.1640625" bestFit="1" customWidth="1"/>
    <col min="806" max="806" width="6.1640625" bestFit="1" customWidth="1"/>
    <col min="807" max="807" width="8.1640625" bestFit="1" customWidth="1"/>
    <col min="808" max="808" width="6.1640625" bestFit="1" customWidth="1"/>
    <col min="809" max="810" width="8.1640625" bestFit="1" customWidth="1"/>
    <col min="811" max="813" width="6.1640625" bestFit="1" customWidth="1"/>
    <col min="814" max="814" width="8.1640625" bestFit="1" customWidth="1"/>
    <col min="815" max="817" width="6.1640625" bestFit="1" customWidth="1"/>
    <col min="818" max="818" width="8.1640625" bestFit="1" customWidth="1"/>
    <col min="819" max="819" width="6.1640625" bestFit="1" customWidth="1"/>
    <col min="820" max="820" width="8.1640625" bestFit="1" customWidth="1"/>
    <col min="821" max="821" width="6.1640625" bestFit="1" customWidth="1"/>
    <col min="822" max="824" width="8.1640625" bestFit="1" customWidth="1"/>
    <col min="825" max="825" width="6.1640625" bestFit="1" customWidth="1"/>
    <col min="826" max="826" width="8.1640625" bestFit="1" customWidth="1"/>
    <col min="827" max="827" width="6.1640625" bestFit="1" customWidth="1"/>
    <col min="828" max="835" width="8.1640625" bestFit="1" customWidth="1"/>
    <col min="836" max="837" width="6.1640625" bestFit="1" customWidth="1"/>
    <col min="838" max="838" width="8.1640625" bestFit="1" customWidth="1"/>
    <col min="839" max="839" width="6.1640625" bestFit="1" customWidth="1"/>
    <col min="840" max="841" width="8.1640625" bestFit="1" customWidth="1"/>
    <col min="842" max="842" width="6.1640625" bestFit="1" customWidth="1"/>
    <col min="843" max="843" width="8.1640625" bestFit="1" customWidth="1"/>
    <col min="844" max="845" width="6.1640625" bestFit="1" customWidth="1"/>
    <col min="846" max="849" width="8.1640625" bestFit="1" customWidth="1"/>
    <col min="850" max="852" width="6.1640625" bestFit="1" customWidth="1"/>
    <col min="853" max="853" width="8.1640625" bestFit="1" customWidth="1"/>
    <col min="854" max="854" width="6.1640625" bestFit="1" customWidth="1"/>
    <col min="855" max="855" width="8.1640625" bestFit="1" customWidth="1"/>
    <col min="856" max="856" width="6.1640625" bestFit="1" customWidth="1"/>
    <col min="857" max="857" width="8.1640625" bestFit="1" customWidth="1"/>
    <col min="858" max="858" width="6.1640625" bestFit="1" customWidth="1"/>
    <col min="859" max="862" width="8.1640625" bestFit="1" customWidth="1"/>
    <col min="863" max="863" width="9.1640625" bestFit="1" customWidth="1"/>
    <col min="864" max="865" width="7.1640625" bestFit="1" customWidth="1"/>
    <col min="866" max="866" width="9.1640625" bestFit="1" customWidth="1"/>
    <col min="867" max="868" width="7.1640625" bestFit="1" customWidth="1"/>
    <col min="869" max="869" width="9.1640625" bestFit="1" customWidth="1"/>
    <col min="870" max="870" width="7.1640625" bestFit="1" customWidth="1"/>
    <col min="871" max="871" width="9.1640625" bestFit="1" customWidth="1"/>
    <col min="872" max="872" width="7.1640625" bestFit="1" customWidth="1"/>
    <col min="873" max="873" width="9.1640625" bestFit="1" customWidth="1"/>
    <col min="874" max="874" width="7.1640625" bestFit="1" customWidth="1"/>
    <col min="875" max="879" width="9.1640625" bestFit="1" customWidth="1"/>
    <col min="880" max="880" width="7.1640625" bestFit="1" customWidth="1"/>
    <col min="881" max="881" width="9.1640625" bestFit="1" customWidth="1"/>
    <col min="882" max="886" width="7.1640625" bestFit="1" customWidth="1"/>
    <col min="887" max="889" width="9.1640625" bestFit="1" customWidth="1"/>
    <col min="890" max="890" width="7.1640625" bestFit="1" customWidth="1"/>
    <col min="891" max="891" width="9.1640625" bestFit="1" customWidth="1"/>
    <col min="892" max="893" width="7.1640625" bestFit="1" customWidth="1"/>
    <col min="894" max="897" width="9.1640625" bestFit="1" customWidth="1"/>
    <col min="898" max="898" width="7.1640625" bestFit="1" customWidth="1"/>
    <col min="899" max="899" width="9.1640625" bestFit="1" customWidth="1"/>
    <col min="900" max="900" width="7.1640625" bestFit="1" customWidth="1"/>
    <col min="901" max="901" width="9.1640625" bestFit="1" customWidth="1"/>
    <col min="902" max="903" width="7.1640625" bestFit="1" customWidth="1"/>
    <col min="904" max="904" width="9.1640625" bestFit="1" customWidth="1"/>
    <col min="905" max="908" width="7.1640625" bestFit="1" customWidth="1"/>
    <col min="909" max="911" width="9.1640625" bestFit="1" customWidth="1"/>
    <col min="912" max="912" width="7.1640625" bestFit="1" customWidth="1"/>
    <col min="913" max="915" width="9.1640625" bestFit="1" customWidth="1"/>
    <col min="916" max="917" width="7.1640625" bestFit="1" customWidth="1"/>
    <col min="918" max="923" width="9.1640625" bestFit="1" customWidth="1"/>
    <col min="924" max="924" width="7.1640625" bestFit="1" customWidth="1"/>
    <col min="925" max="926" width="9.1640625" bestFit="1" customWidth="1"/>
    <col min="927" max="927" width="7.1640625" bestFit="1" customWidth="1"/>
    <col min="928" max="928" width="9.1640625" bestFit="1" customWidth="1"/>
    <col min="929" max="933" width="7.1640625" bestFit="1" customWidth="1"/>
    <col min="934" max="934" width="9.1640625" bestFit="1" customWidth="1"/>
    <col min="935" max="935" width="7.1640625" bestFit="1" customWidth="1"/>
    <col min="936" max="936" width="9.1640625" bestFit="1" customWidth="1"/>
    <col min="937" max="938" width="7.1640625" bestFit="1" customWidth="1"/>
    <col min="939" max="941" width="9.1640625" bestFit="1" customWidth="1"/>
    <col min="942" max="945" width="7.1640625" bestFit="1" customWidth="1"/>
    <col min="946" max="946" width="9.1640625" bestFit="1" customWidth="1"/>
    <col min="947" max="948" width="7.1640625" bestFit="1" customWidth="1"/>
    <col min="949" max="949" width="9.1640625" bestFit="1" customWidth="1"/>
    <col min="950" max="950" width="7.1640625" bestFit="1" customWidth="1"/>
    <col min="951" max="951" width="9.1640625" bestFit="1" customWidth="1"/>
    <col min="952" max="953" width="7.1640625" bestFit="1" customWidth="1"/>
    <col min="954" max="956" width="9.1640625" bestFit="1" customWidth="1"/>
    <col min="957" max="957" width="7.1640625" bestFit="1" customWidth="1"/>
    <col min="958" max="960" width="9.1640625" bestFit="1" customWidth="1"/>
    <col min="961" max="962" width="7.1640625" bestFit="1" customWidth="1"/>
    <col min="963" max="963" width="9.1640625" bestFit="1" customWidth="1"/>
    <col min="964" max="964" width="7.1640625" bestFit="1" customWidth="1"/>
    <col min="965" max="966" width="9.1640625" bestFit="1" customWidth="1"/>
    <col min="967" max="968" width="7.1640625" bestFit="1" customWidth="1"/>
    <col min="969" max="969" width="9.1640625" bestFit="1" customWidth="1"/>
    <col min="970" max="971" width="7.1640625" bestFit="1" customWidth="1"/>
    <col min="972" max="972" width="9.1640625" bestFit="1" customWidth="1"/>
    <col min="973" max="973" width="7.1640625" bestFit="1" customWidth="1"/>
    <col min="974" max="975" width="9.1640625" bestFit="1" customWidth="1"/>
    <col min="976" max="978" width="7.1640625" bestFit="1" customWidth="1"/>
    <col min="979" max="979" width="9.1640625" bestFit="1" customWidth="1"/>
    <col min="980" max="981" width="7.1640625" bestFit="1" customWidth="1"/>
    <col min="982" max="982" width="9.1640625" bestFit="1" customWidth="1"/>
    <col min="983" max="983" width="7.1640625" bestFit="1" customWidth="1"/>
    <col min="984" max="984" width="9.1640625" bestFit="1" customWidth="1"/>
    <col min="985" max="986" width="7.1640625" bestFit="1" customWidth="1"/>
    <col min="987" max="987" width="9.1640625" bestFit="1" customWidth="1"/>
    <col min="988" max="991" width="7.1640625" bestFit="1" customWidth="1"/>
    <col min="992" max="995" width="9.1640625" bestFit="1" customWidth="1"/>
    <col min="996" max="998" width="7.1640625" bestFit="1" customWidth="1"/>
    <col min="999" max="999" width="9.1640625" bestFit="1" customWidth="1"/>
    <col min="1000" max="1000" width="7.1640625" bestFit="1" customWidth="1"/>
    <col min="1001" max="1001" width="9.1640625" bestFit="1" customWidth="1"/>
    <col min="1002" max="1005" width="7.1640625" bestFit="1" customWidth="1"/>
    <col min="1006" max="1006" width="33.6640625" bestFit="1" customWidth="1"/>
    <col min="1007" max="1007" width="33" bestFit="1" customWidth="1"/>
  </cols>
  <sheetData>
    <row r="3" spans="1:4" x14ac:dyDescent="0.2">
      <c r="A3" s="16" t="s">
        <v>27</v>
      </c>
      <c r="B3" t="s">
        <v>29</v>
      </c>
      <c r="C3" t="s">
        <v>30</v>
      </c>
      <c r="D3" t="s">
        <v>31</v>
      </c>
    </row>
    <row r="4" spans="1:4" x14ac:dyDescent="0.2">
      <c r="A4" s="17">
        <v>18</v>
      </c>
      <c r="B4" s="15">
        <v>836803032</v>
      </c>
      <c r="C4" s="15">
        <v>8240286</v>
      </c>
      <c r="D4" s="19">
        <v>1</v>
      </c>
    </row>
    <row r="5" spans="1:4" x14ac:dyDescent="0.2">
      <c r="A5" s="18" t="s">
        <v>16</v>
      </c>
      <c r="B5" s="15">
        <v>36934095</v>
      </c>
      <c r="C5" s="15">
        <v>425116.5</v>
      </c>
      <c r="D5" s="19">
        <v>4.41371428969679E-2</v>
      </c>
    </row>
    <row r="6" spans="1:4" x14ac:dyDescent="0.2">
      <c r="A6" s="18" t="s">
        <v>11</v>
      </c>
      <c r="B6" s="15">
        <v>42828757.5</v>
      </c>
      <c r="C6" s="15">
        <v>474180</v>
      </c>
      <c r="D6" s="19">
        <v>5.1181408123769798E-2</v>
      </c>
    </row>
    <row r="7" spans="1:4" x14ac:dyDescent="0.2">
      <c r="A7" s="18" t="s">
        <v>17</v>
      </c>
      <c r="B7" s="15">
        <v>17828215.5</v>
      </c>
      <c r="C7" s="15">
        <v>195538.5</v>
      </c>
      <c r="D7" s="19">
        <v>2.1305151652461985E-2</v>
      </c>
    </row>
    <row r="8" spans="1:4" x14ac:dyDescent="0.2">
      <c r="A8" s="18" t="s">
        <v>10</v>
      </c>
      <c r="B8" s="15">
        <v>16029679.5</v>
      </c>
      <c r="C8" s="15">
        <v>174304.5</v>
      </c>
      <c r="D8" s="19">
        <v>1.9155857336807545E-2</v>
      </c>
    </row>
    <row r="9" spans="1:4" x14ac:dyDescent="0.2">
      <c r="A9" s="18" t="s">
        <v>20</v>
      </c>
      <c r="B9" s="15">
        <v>13955985</v>
      </c>
      <c r="C9" s="15">
        <v>153810</v>
      </c>
      <c r="D9" s="19">
        <v>1.6677741913344309E-2</v>
      </c>
    </row>
    <row r="10" spans="1:4" x14ac:dyDescent="0.2">
      <c r="A10" s="18" t="s">
        <v>22</v>
      </c>
      <c r="B10" s="15">
        <v>130713645</v>
      </c>
      <c r="C10" s="15">
        <v>1256038.5</v>
      </c>
      <c r="D10" s="19">
        <v>0.15620598874694325</v>
      </c>
    </row>
    <row r="11" spans="1:4" x14ac:dyDescent="0.2">
      <c r="A11" s="18" t="s">
        <v>21</v>
      </c>
      <c r="B11" s="15">
        <v>136791225</v>
      </c>
      <c r="C11" s="15">
        <v>1309978.5</v>
      </c>
      <c r="D11" s="19">
        <v>0.16346884484041879</v>
      </c>
    </row>
    <row r="12" spans="1:4" x14ac:dyDescent="0.2">
      <c r="A12" s="18" t="s">
        <v>13</v>
      </c>
      <c r="B12" s="15">
        <v>13145965.5</v>
      </c>
      <c r="C12" s="15">
        <v>142236</v>
      </c>
      <c r="D12" s="19">
        <v>1.5709748886282716E-2</v>
      </c>
    </row>
    <row r="13" spans="1:4" x14ac:dyDescent="0.2">
      <c r="A13" s="18" t="s">
        <v>23</v>
      </c>
      <c r="B13" s="15">
        <v>5746024.5</v>
      </c>
      <c r="C13" s="15">
        <v>70462.5</v>
      </c>
      <c r="D13" s="19">
        <v>6.8666391973589312E-3</v>
      </c>
    </row>
    <row r="14" spans="1:4" x14ac:dyDescent="0.2">
      <c r="A14" s="18" t="s">
        <v>18</v>
      </c>
      <c r="B14" s="15">
        <v>6961020</v>
      </c>
      <c r="C14" s="15">
        <v>81421.5</v>
      </c>
      <c r="D14" s="19">
        <v>8.3185884058794846E-3</v>
      </c>
    </row>
    <row r="15" spans="1:4" x14ac:dyDescent="0.2">
      <c r="A15" s="18" t="s">
        <v>19</v>
      </c>
      <c r="B15" s="15">
        <v>2008809</v>
      </c>
      <c r="C15" s="15">
        <v>22483.5</v>
      </c>
      <c r="D15" s="19">
        <v>2.4005756709543089E-3</v>
      </c>
    </row>
    <row r="16" spans="1:4" x14ac:dyDescent="0.2">
      <c r="A16" s="18" t="s">
        <v>15</v>
      </c>
      <c r="B16" s="15">
        <v>233059077</v>
      </c>
      <c r="C16" s="15">
        <v>2176611</v>
      </c>
      <c r="D16" s="19">
        <v>0.27851127217235033</v>
      </c>
    </row>
    <row r="17" spans="1:4" x14ac:dyDescent="0.2">
      <c r="A17" s="18" t="s">
        <v>14</v>
      </c>
      <c r="B17" s="15">
        <v>176269533</v>
      </c>
      <c r="C17" s="15">
        <v>1698328.5</v>
      </c>
      <c r="D17" s="19">
        <v>0.21064638422581625</v>
      </c>
    </row>
    <row r="18" spans="1:4" x14ac:dyDescent="0.2">
      <c r="A18" s="18" t="s">
        <v>12</v>
      </c>
      <c r="B18" s="15">
        <v>4531000.5</v>
      </c>
      <c r="C18" s="15">
        <v>59776.5</v>
      </c>
      <c r="D18" s="19">
        <v>5.414655930644381E-3</v>
      </c>
    </row>
    <row r="19" spans="1:4" x14ac:dyDescent="0.2">
      <c r="A19" s="17">
        <v>19</v>
      </c>
      <c r="B19" s="15">
        <v>983915409.85664999</v>
      </c>
      <c r="C19" s="15">
        <v>9783292.5</v>
      </c>
      <c r="D19" s="19">
        <v>1</v>
      </c>
    </row>
    <row r="20" spans="1:4" x14ac:dyDescent="0.2">
      <c r="A20" s="18" t="s">
        <v>16</v>
      </c>
      <c r="B20" s="15">
        <v>43307155.5</v>
      </c>
      <c r="C20" s="15">
        <v>498072</v>
      </c>
      <c r="D20" s="19">
        <v>4.4015120676186549E-2</v>
      </c>
    </row>
    <row r="21" spans="1:4" x14ac:dyDescent="0.2">
      <c r="A21" s="18" t="s">
        <v>11</v>
      </c>
      <c r="B21" s="15">
        <v>46366009.5</v>
      </c>
      <c r="C21" s="15">
        <v>515109</v>
      </c>
      <c r="D21" s="19">
        <v>4.7123979394483942E-2</v>
      </c>
    </row>
    <row r="22" spans="1:4" x14ac:dyDescent="0.2">
      <c r="A22" s="18" t="s">
        <v>17</v>
      </c>
      <c r="B22" s="15">
        <v>20974521</v>
      </c>
      <c r="C22" s="15">
        <v>227584.5</v>
      </c>
      <c r="D22" s="19">
        <v>2.1317402685110756E-2</v>
      </c>
    </row>
    <row r="23" spans="1:4" x14ac:dyDescent="0.2">
      <c r="A23" s="18" t="s">
        <v>10</v>
      </c>
      <c r="B23" s="15">
        <v>19479055.5</v>
      </c>
      <c r="C23" s="15">
        <v>213837</v>
      </c>
      <c r="D23" s="19">
        <v>1.9797490012721693E-2</v>
      </c>
    </row>
    <row r="24" spans="1:4" x14ac:dyDescent="0.2">
      <c r="A24" s="18" t="s">
        <v>20</v>
      </c>
      <c r="B24" s="15">
        <v>16391856</v>
      </c>
      <c r="C24" s="15">
        <v>182991</v>
      </c>
      <c r="D24" s="19">
        <v>1.6659822415412914E-2</v>
      </c>
    </row>
    <row r="25" spans="1:4" x14ac:dyDescent="0.2">
      <c r="A25" s="18" t="s">
        <v>22</v>
      </c>
      <c r="B25" s="15">
        <v>151642039.5</v>
      </c>
      <c r="C25" s="15">
        <v>1487974.5</v>
      </c>
      <c r="D25" s="19">
        <v>0.15412101282374799</v>
      </c>
    </row>
    <row r="26" spans="1:4" x14ac:dyDescent="0.2">
      <c r="A26" s="18" t="s">
        <v>21</v>
      </c>
      <c r="B26" s="15">
        <v>159695760</v>
      </c>
      <c r="C26" s="15">
        <v>1560162</v>
      </c>
      <c r="D26" s="19">
        <v>0.16230639178958139</v>
      </c>
    </row>
    <row r="27" spans="1:4" x14ac:dyDescent="0.2">
      <c r="A27" s="18" t="s">
        <v>13</v>
      </c>
      <c r="B27" s="15">
        <v>17149980</v>
      </c>
      <c r="C27" s="15">
        <v>188839.5</v>
      </c>
      <c r="D27" s="19">
        <v>1.7430339872915132E-2</v>
      </c>
    </row>
    <row r="28" spans="1:4" x14ac:dyDescent="0.2">
      <c r="A28" s="18" t="s">
        <v>23</v>
      </c>
      <c r="B28" s="15">
        <v>7253572.5</v>
      </c>
      <c r="C28" s="15">
        <v>88479</v>
      </c>
      <c r="D28" s="19">
        <v>7.3721505195825706E-3</v>
      </c>
    </row>
    <row r="29" spans="1:4" x14ac:dyDescent="0.2">
      <c r="A29" s="18" t="s">
        <v>18</v>
      </c>
      <c r="B29" s="15">
        <v>8778597</v>
      </c>
      <c r="C29" s="15">
        <v>99933</v>
      </c>
      <c r="D29" s="19">
        <v>8.9221054087149469E-3</v>
      </c>
    </row>
    <row r="30" spans="1:4" x14ac:dyDescent="0.2">
      <c r="A30" s="18" t="s">
        <v>19</v>
      </c>
      <c r="B30" s="15">
        <v>5892277.5</v>
      </c>
      <c r="C30" s="15">
        <v>67030.5</v>
      </c>
      <c r="D30" s="19">
        <v>5.9886017039396363E-3</v>
      </c>
    </row>
    <row r="31" spans="1:4" x14ac:dyDescent="0.2">
      <c r="A31" s="18" t="s">
        <v>15</v>
      </c>
      <c r="B31" s="15">
        <v>272762503.5</v>
      </c>
      <c r="C31" s="15">
        <v>2559828</v>
      </c>
      <c r="D31" s="19">
        <v>0.27722149766893039</v>
      </c>
    </row>
    <row r="32" spans="1:4" x14ac:dyDescent="0.2">
      <c r="A32" s="18" t="s">
        <v>14</v>
      </c>
      <c r="B32" s="15">
        <v>208128393.85664999</v>
      </c>
      <c r="C32" s="15">
        <v>2015272.5</v>
      </c>
      <c r="D32" s="19">
        <v>0.21153077975165865</v>
      </c>
    </row>
    <row r="33" spans="1:4" x14ac:dyDescent="0.2">
      <c r="A33" s="18" t="s">
        <v>12</v>
      </c>
      <c r="B33" s="15">
        <v>6093688.5</v>
      </c>
      <c r="C33" s="15">
        <v>78180</v>
      </c>
      <c r="D33" s="19">
        <v>6.1933052770134075E-3</v>
      </c>
    </row>
    <row r="34" spans="1:4" x14ac:dyDescent="0.2">
      <c r="A34" s="17">
        <v>20</v>
      </c>
      <c r="B34" s="15">
        <v>947263006.72395003</v>
      </c>
      <c r="C34" s="15">
        <v>9594378</v>
      </c>
      <c r="D34" s="19">
        <v>1</v>
      </c>
    </row>
    <row r="35" spans="1:4" x14ac:dyDescent="0.2">
      <c r="A35" s="18" t="s">
        <v>16</v>
      </c>
      <c r="B35" s="15">
        <v>41300679</v>
      </c>
      <c r="C35" s="15">
        <v>490506</v>
      </c>
      <c r="D35" s="19">
        <v>4.3600012569725295E-2</v>
      </c>
    </row>
    <row r="36" spans="1:4" x14ac:dyDescent="0.2">
      <c r="A36" s="18" t="s">
        <v>11</v>
      </c>
      <c r="B36" s="15">
        <v>47079841.5</v>
      </c>
      <c r="C36" s="15">
        <v>538167</v>
      </c>
      <c r="D36" s="19">
        <v>4.9700918505012341E-2</v>
      </c>
    </row>
    <row r="37" spans="1:4" x14ac:dyDescent="0.2">
      <c r="A37" s="18" t="s">
        <v>17</v>
      </c>
      <c r="B37" s="15">
        <v>23603355</v>
      </c>
      <c r="C37" s="15">
        <v>255661.5</v>
      </c>
      <c r="D37" s="19">
        <v>2.4917425078839223E-2</v>
      </c>
    </row>
    <row r="38" spans="1:4" x14ac:dyDescent="0.2">
      <c r="A38" s="18" t="s">
        <v>10</v>
      </c>
      <c r="B38" s="15">
        <v>19724733</v>
      </c>
      <c r="C38" s="15">
        <v>219427.5</v>
      </c>
      <c r="D38" s="19">
        <v>2.082286847474046E-2</v>
      </c>
    </row>
    <row r="39" spans="1:4" x14ac:dyDescent="0.2">
      <c r="A39" s="18" t="s">
        <v>20</v>
      </c>
      <c r="B39" s="15">
        <v>16732521</v>
      </c>
      <c r="C39" s="15">
        <v>192429</v>
      </c>
      <c r="D39" s="19">
        <v>1.7664070993195839E-2</v>
      </c>
    </row>
    <row r="40" spans="1:4" x14ac:dyDescent="0.2">
      <c r="A40" s="18" t="s">
        <v>22</v>
      </c>
      <c r="B40" s="15">
        <v>135813990</v>
      </c>
      <c r="C40" s="15">
        <v>1361841</v>
      </c>
      <c r="D40" s="19">
        <v>0.14337516511882398</v>
      </c>
    </row>
    <row r="41" spans="1:4" x14ac:dyDescent="0.2">
      <c r="A41" s="18" t="s">
        <v>21</v>
      </c>
      <c r="B41" s="15">
        <v>142825023</v>
      </c>
      <c r="C41" s="15">
        <v>1420659</v>
      </c>
      <c r="D41" s="19">
        <v>0.15077652350634005</v>
      </c>
    </row>
    <row r="42" spans="1:4" x14ac:dyDescent="0.2">
      <c r="A42" s="18" t="s">
        <v>13</v>
      </c>
      <c r="B42" s="15">
        <v>19963153.5</v>
      </c>
      <c r="C42" s="15">
        <v>221128.5</v>
      </c>
      <c r="D42" s="19">
        <v>2.1074562564246356E-2</v>
      </c>
    </row>
    <row r="43" spans="1:4" x14ac:dyDescent="0.2">
      <c r="A43" s="18" t="s">
        <v>23</v>
      </c>
      <c r="B43" s="15">
        <v>7841920.5</v>
      </c>
      <c r="C43" s="15">
        <v>96397.5</v>
      </c>
      <c r="D43" s="19">
        <v>8.2785039047611423E-3</v>
      </c>
    </row>
    <row r="44" spans="1:4" x14ac:dyDescent="0.2">
      <c r="A44" s="18" t="s">
        <v>18</v>
      </c>
      <c r="B44" s="15">
        <v>9036316.5</v>
      </c>
      <c r="C44" s="15">
        <v>104439</v>
      </c>
      <c r="D44" s="19">
        <v>9.5393955383642984E-3</v>
      </c>
    </row>
    <row r="45" spans="1:4" x14ac:dyDescent="0.2">
      <c r="A45" s="18" t="s">
        <v>19</v>
      </c>
      <c r="B45" s="15">
        <v>7382458.5</v>
      </c>
      <c r="C45" s="15">
        <v>82830</v>
      </c>
      <c r="D45" s="19">
        <v>7.7934622671815001E-3</v>
      </c>
    </row>
    <row r="46" spans="1:4" x14ac:dyDescent="0.2">
      <c r="A46" s="18" t="s">
        <v>15</v>
      </c>
      <c r="B46" s="15">
        <v>269949999</v>
      </c>
      <c r="C46" s="15">
        <v>2569557</v>
      </c>
      <c r="D46" s="19">
        <v>0.28497893096617932</v>
      </c>
    </row>
    <row r="47" spans="1:4" x14ac:dyDescent="0.2">
      <c r="A47" s="18" t="s">
        <v>14</v>
      </c>
      <c r="B47" s="15">
        <v>199569624.22395</v>
      </c>
      <c r="C47" s="15">
        <v>1960671</v>
      </c>
      <c r="D47" s="19">
        <v>0.21068026810647772</v>
      </c>
    </row>
    <row r="48" spans="1:4" x14ac:dyDescent="0.2">
      <c r="A48" s="18" t="s">
        <v>12</v>
      </c>
      <c r="B48" s="15">
        <v>6439392</v>
      </c>
      <c r="C48" s="15">
        <v>80664</v>
      </c>
      <c r="D48" s="19">
        <v>6.7978924061124638E-3</v>
      </c>
    </row>
    <row r="49" spans="1:4" x14ac:dyDescent="0.2">
      <c r="A49" s="17">
        <v>21</v>
      </c>
      <c r="B49" s="15">
        <v>1002691883.0465999</v>
      </c>
      <c r="C49" s="15">
        <v>10475296.5</v>
      </c>
      <c r="D49" s="19">
        <v>1</v>
      </c>
    </row>
    <row r="50" spans="1:4" x14ac:dyDescent="0.2">
      <c r="A50" s="18" t="s">
        <v>16</v>
      </c>
      <c r="B50" s="15">
        <v>44172813</v>
      </c>
      <c r="C50" s="15">
        <v>558858</v>
      </c>
      <c r="D50" s="19">
        <v>4.4054224180796603E-2</v>
      </c>
    </row>
    <row r="51" spans="1:4" x14ac:dyDescent="0.2">
      <c r="A51" s="18" t="s">
        <v>11</v>
      </c>
      <c r="B51" s="15">
        <v>49575288</v>
      </c>
      <c r="C51" s="15">
        <v>612397.5</v>
      </c>
      <c r="D51" s="19">
        <v>4.9442195392436425E-2</v>
      </c>
    </row>
    <row r="52" spans="1:4" x14ac:dyDescent="0.2">
      <c r="A52" s="18" t="s">
        <v>17</v>
      </c>
      <c r="B52" s="15">
        <v>26815804.5</v>
      </c>
      <c r="C52" s="15">
        <v>292147.5</v>
      </c>
      <c r="D52" s="19">
        <v>2.6743813282423611E-2</v>
      </c>
    </row>
    <row r="53" spans="1:4" x14ac:dyDescent="0.2">
      <c r="A53" s="18" t="s">
        <v>10</v>
      </c>
      <c r="B53" s="15">
        <v>20915751</v>
      </c>
      <c r="C53" s="15">
        <v>241558.5</v>
      </c>
      <c r="D53" s="19">
        <v>2.0859599398021601E-2</v>
      </c>
    </row>
    <row r="54" spans="1:4" x14ac:dyDescent="0.2">
      <c r="A54" s="18" t="s">
        <v>20</v>
      </c>
      <c r="B54" s="15">
        <v>17647479</v>
      </c>
      <c r="C54" s="15">
        <v>207879</v>
      </c>
      <c r="D54" s="19">
        <v>1.7600101584925105E-2</v>
      </c>
    </row>
    <row r="55" spans="1:4" x14ac:dyDescent="0.2">
      <c r="A55" s="18" t="s">
        <v>22</v>
      </c>
      <c r="B55" s="15">
        <v>149589546</v>
      </c>
      <c r="C55" s="15">
        <v>1520479.5</v>
      </c>
      <c r="D55" s="19">
        <v>0.14918794948801622</v>
      </c>
    </row>
    <row r="56" spans="1:4" x14ac:dyDescent="0.2">
      <c r="A56" s="18" t="s">
        <v>21</v>
      </c>
      <c r="B56" s="15">
        <v>157512358.5</v>
      </c>
      <c r="C56" s="15">
        <v>1589835</v>
      </c>
      <c r="D56" s="19">
        <v>0.15708949195979444</v>
      </c>
    </row>
    <row r="57" spans="1:4" x14ac:dyDescent="0.2">
      <c r="A57" s="18" t="s">
        <v>13</v>
      </c>
      <c r="B57" s="15">
        <v>20713983</v>
      </c>
      <c r="C57" s="15">
        <v>230869.5</v>
      </c>
      <c r="D57" s="19">
        <v>2.0658373075747062E-2</v>
      </c>
    </row>
    <row r="58" spans="1:4" x14ac:dyDescent="0.2">
      <c r="A58" s="18" t="s">
        <v>23</v>
      </c>
      <c r="B58" s="15">
        <v>8990269.5</v>
      </c>
      <c r="C58" s="15">
        <v>110184</v>
      </c>
      <c r="D58" s="19">
        <v>8.9661337166545892E-3</v>
      </c>
    </row>
    <row r="59" spans="1:4" x14ac:dyDescent="0.2">
      <c r="A59" s="18" t="s">
        <v>18</v>
      </c>
      <c r="B59" s="15">
        <v>10598445</v>
      </c>
      <c r="C59" s="15">
        <v>126328.5</v>
      </c>
      <c r="D59" s="19">
        <v>1.056999181822183E-2</v>
      </c>
    </row>
    <row r="60" spans="1:4" x14ac:dyDescent="0.2">
      <c r="A60" s="18" t="s">
        <v>19</v>
      </c>
      <c r="B60" s="15">
        <v>8638525.5</v>
      </c>
      <c r="C60" s="15">
        <v>96088.5</v>
      </c>
      <c r="D60" s="19">
        <v>8.6153340283881864E-3</v>
      </c>
    </row>
    <row r="61" spans="1:4" x14ac:dyDescent="0.2">
      <c r="A61" s="18" t="s">
        <v>15</v>
      </c>
      <c r="B61" s="15">
        <v>275539431.56999999</v>
      </c>
      <c r="C61" s="15">
        <v>2709976.5</v>
      </c>
      <c r="D61" s="19">
        <v>0.27479970290852984</v>
      </c>
    </row>
    <row r="62" spans="1:4" x14ac:dyDescent="0.2">
      <c r="A62" s="18" t="s">
        <v>14</v>
      </c>
      <c r="B62" s="15">
        <v>204608809.47659999</v>
      </c>
      <c r="C62" s="15">
        <v>2088370.5</v>
      </c>
      <c r="D62" s="19">
        <v>0.20405950515417789</v>
      </c>
    </row>
    <row r="63" spans="1:4" x14ac:dyDescent="0.2">
      <c r="A63" s="18" t="s">
        <v>12</v>
      </c>
      <c r="B63" s="15">
        <v>7373379</v>
      </c>
      <c r="C63" s="15">
        <v>90324</v>
      </c>
      <c r="D63" s="19">
        <v>7.353584011866708E-3</v>
      </c>
    </row>
    <row r="64" spans="1:4" x14ac:dyDescent="0.2">
      <c r="A64" s="17">
        <v>22</v>
      </c>
      <c r="B64" s="15">
        <v>1055653508.75385</v>
      </c>
      <c r="C64" s="15">
        <v>10730598</v>
      </c>
      <c r="D64" s="19">
        <v>1</v>
      </c>
    </row>
    <row r="65" spans="1:4" x14ac:dyDescent="0.2">
      <c r="A65" s="18" t="s">
        <v>16</v>
      </c>
      <c r="B65" s="15">
        <v>46485094.5</v>
      </c>
      <c r="C65" s="15">
        <v>540592.5</v>
      </c>
      <c r="D65" s="19">
        <v>4.4034424282711378E-2</v>
      </c>
    </row>
    <row r="66" spans="1:4" x14ac:dyDescent="0.2">
      <c r="A66" s="18" t="s">
        <v>11</v>
      </c>
      <c r="B66" s="15">
        <v>50729185.5</v>
      </c>
      <c r="C66" s="15">
        <v>598485</v>
      </c>
      <c r="D66" s="19">
        <v>4.8054768993174145E-2</v>
      </c>
    </row>
    <row r="67" spans="1:4" x14ac:dyDescent="0.2">
      <c r="A67" s="18" t="s">
        <v>17</v>
      </c>
      <c r="B67" s="15">
        <v>27495690</v>
      </c>
      <c r="C67" s="15">
        <v>296626.5</v>
      </c>
      <c r="D67" s="19">
        <v>2.604613139822496E-2</v>
      </c>
    </row>
    <row r="68" spans="1:4" x14ac:dyDescent="0.2">
      <c r="A68" s="18" t="s">
        <v>10</v>
      </c>
      <c r="B68" s="15">
        <v>22579281</v>
      </c>
      <c r="C68" s="15">
        <v>249246</v>
      </c>
      <c r="D68" s="19">
        <v>2.1388912946117892E-2</v>
      </c>
    </row>
    <row r="69" spans="1:4" x14ac:dyDescent="0.2">
      <c r="A69" s="18" t="s">
        <v>20</v>
      </c>
      <c r="B69" s="15">
        <v>18595773</v>
      </c>
      <c r="C69" s="15">
        <v>210733.5</v>
      </c>
      <c r="D69" s="19">
        <v>1.761541343423511E-2</v>
      </c>
    </row>
    <row r="70" spans="1:4" x14ac:dyDescent="0.2">
      <c r="A70" s="18" t="s">
        <v>22</v>
      </c>
      <c r="B70" s="15">
        <v>151451013</v>
      </c>
      <c r="C70" s="15">
        <v>1498459.5</v>
      </c>
      <c r="D70" s="19">
        <v>0.14346659367312756</v>
      </c>
    </row>
    <row r="71" spans="1:4" x14ac:dyDescent="0.2">
      <c r="A71" s="18" t="s">
        <v>21</v>
      </c>
      <c r="B71" s="15">
        <v>157857214.5</v>
      </c>
      <c r="C71" s="15">
        <v>1552795.5</v>
      </c>
      <c r="D71" s="19">
        <v>0.14953506353267668</v>
      </c>
    </row>
    <row r="72" spans="1:4" x14ac:dyDescent="0.2">
      <c r="A72" s="18" t="s">
        <v>13</v>
      </c>
      <c r="B72" s="15">
        <v>21605704.5</v>
      </c>
      <c r="C72" s="15">
        <v>232813.5</v>
      </c>
      <c r="D72" s="19">
        <v>2.0466662897283914E-2</v>
      </c>
    </row>
    <row r="73" spans="1:4" x14ac:dyDescent="0.2">
      <c r="A73" s="18" t="s">
        <v>23</v>
      </c>
      <c r="B73" s="15">
        <v>9909624</v>
      </c>
      <c r="C73" s="15">
        <v>114889.5</v>
      </c>
      <c r="D73" s="19">
        <v>9.3871937314904119E-3</v>
      </c>
    </row>
    <row r="74" spans="1:4" x14ac:dyDescent="0.2">
      <c r="A74" s="18" t="s">
        <v>18</v>
      </c>
      <c r="B74" s="15">
        <v>11902053</v>
      </c>
      <c r="C74" s="15">
        <v>133758</v>
      </c>
      <c r="D74" s="19">
        <v>1.1274582901779791E-2</v>
      </c>
    </row>
    <row r="75" spans="1:4" x14ac:dyDescent="0.2">
      <c r="A75" s="18" t="s">
        <v>19</v>
      </c>
      <c r="B75" s="15">
        <v>9328845</v>
      </c>
      <c r="C75" s="15">
        <v>102393</v>
      </c>
      <c r="D75" s="19">
        <v>8.8370331009577831E-3</v>
      </c>
    </row>
    <row r="76" spans="1:4" x14ac:dyDescent="0.2">
      <c r="A76" s="18" t="s">
        <v>9</v>
      </c>
      <c r="B76" s="15">
        <v>2706253.5</v>
      </c>
      <c r="C76" s="15">
        <v>34860</v>
      </c>
      <c r="D76" s="19">
        <v>2.5635812106517856E-3</v>
      </c>
    </row>
    <row r="77" spans="1:4" x14ac:dyDescent="0.2">
      <c r="A77" s="18" t="s">
        <v>15</v>
      </c>
      <c r="B77" s="15">
        <v>292155049.5</v>
      </c>
      <c r="C77" s="15">
        <v>2811513</v>
      </c>
      <c r="D77" s="19">
        <v>0.27675278590687913</v>
      </c>
    </row>
    <row r="78" spans="1:4" x14ac:dyDescent="0.2">
      <c r="A78" s="18" t="s">
        <v>14</v>
      </c>
      <c r="B78" s="15">
        <v>219265928.75384998</v>
      </c>
      <c r="C78" s="15">
        <v>2191185</v>
      </c>
      <c r="D78" s="19">
        <v>0.20770634202948204</v>
      </c>
    </row>
    <row r="79" spans="1:4" x14ac:dyDescent="0.2">
      <c r="A79" s="18" t="s">
        <v>12</v>
      </c>
      <c r="B79" s="15">
        <v>7762362</v>
      </c>
      <c r="C79" s="15">
        <v>91920</v>
      </c>
      <c r="D79" s="19">
        <v>7.3531342771390095E-3</v>
      </c>
    </row>
    <row r="80" spans="1:4" x14ac:dyDescent="0.2">
      <c r="A80" s="18" t="s">
        <v>25</v>
      </c>
      <c r="B80" s="15">
        <v>493893</v>
      </c>
      <c r="C80" s="15">
        <v>6409.5</v>
      </c>
      <c r="D80" s="19">
        <v>4.6785521565974596E-4</v>
      </c>
    </row>
    <row r="81" spans="1:4" x14ac:dyDescent="0.2">
      <c r="A81" s="18" t="s">
        <v>24</v>
      </c>
      <c r="B81" s="15">
        <v>4861708.5</v>
      </c>
      <c r="C81" s="15">
        <v>58791</v>
      </c>
      <c r="D81" s="19">
        <v>4.6054017342669765E-3</v>
      </c>
    </row>
    <row r="82" spans="1:4" x14ac:dyDescent="0.2">
      <c r="A82" s="18" t="s">
        <v>26</v>
      </c>
      <c r="B82" s="15">
        <v>468835.5</v>
      </c>
      <c r="C82" s="15">
        <v>5127</v>
      </c>
      <c r="D82" s="19">
        <v>4.4411873414169635E-4</v>
      </c>
    </row>
    <row r="83" spans="1:4" x14ac:dyDescent="0.2">
      <c r="A83" s="17">
        <v>23</v>
      </c>
      <c r="B83" s="15">
        <v>136032376.68134999</v>
      </c>
      <c r="C83" s="15">
        <v>1354929</v>
      </c>
      <c r="D83" s="19">
        <v>1</v>
      </c>
    </row>
    <row r="84" spans="1:4" x14ac:dyDescent="0.2">
      <c r="A84" s="18" t="s">
        <v>16</v>
      </c>
      <c r="B84" s="15">
        <v>5800290</v>
      </c>
      <c r="C84" s="15">
        <v>64740</v>
      </c>
      <c r="D84" s="19">
        <v>4.2639040363066878E-2</v>
      </c>
    </row>
    <row r="85" spans="1:4" x14ac:dyDescent="0.2">
      <c r="A85" s="18" t="s">
        <v>11</v>
      </c>
      <c r="B85" s="15">
        <v>6829921.5</v>
      </c>
      <c r="C85" s="15">
        <v>77269.5</v>
      </c>
      <c r="D85" s="19">
        <v>5.0208058306580927E-2</v>
      </c>
    </row>
    <row r="86" spans="1:4" x14ac:dyDescent="0.2">
      <c r="A86" s="18" t="s">
        <v>17</v>
      </c>
      <c r="B86" s="15">
        <v>3865251</v>
      </c>
      <c r="C86" s="15">
        <v>40528.5</v>
      </c>
      <c r="D86" s="19">
        <v>2.8414198842193168E-2</v>
      </c>
    </row>
    <row r="87" spans="1:4" x14ac:dyDescent="0.2">
      <c r="A87" s="18" t="s">
        <v>10</v>
      </c>
      <c r="B87" s="15">
        <v>2945035.5</v>
      </c>
      <c r="C87" s="15">
        <v>31947</v>
      </c>
      <c r="D87" s="19">
        <v>2.1649518826673295E-2</v>
      </c>
    </row>
    <row r="88" spans="1:4" x14ac:dyDescent="0.2">
      <c r="A88" s="18" t="s">
        <v>20</v>
      </c>
      <c r="B88" s="15">
        <v>2538967.5</v>
      </c>
      <c r="C88" s="15">
        <v>27960</v>
      </c>
      <c r="D88" s="19">
        <v>1.866443534944201E-2</v>
      </c>
    </row>
    <row r="89" spans="1:4" x14ac:dyDescent="0.2">
      <c r="A89" s="18" t="s">
        <v>22</v>
      </c>
      <c r="B89" s="15">
        <v>18914194.5</v>
      </c>
      <c r="C89" s="15">
        <v>183228</v>
      </c>
      <c r="D89" s="19">
        <v>0.13904185872092562</v>
      </c>
    </row>
    <row r="90" spans="1:4" x14ac:dyDescent="0.2">
      <c r="A90" s="18" t="s">
        <v>21</v>
      </c>
      <c r="B90" s="15">
        <v>19465372.5</v>
      </c>
      <c r="C90" s="15">
        <v>188776.5</v>
      </c>
      <c r="D90" s="19">
        <v>0.14309367354212152</v>
      </c>
    </row>
    <row r="91" spans="1:4" x14ac:dyDescent="0.2">
      <c r="A91" s="18" t="s">
        <v>13</v>
      </c>
      <c r="B91" s="15">
        <v>3013512</v>
      </c>
      <c r="C91" s="15">
        <v>32170.5</v>
      </c>
      <c r="D91" s="19">
        <v>2.2152902665657476E-2</v>
      </c>
    </row>
    <row r="92" spans="1:4" x14ac:dyDescent="0.2">
      <c r="A92" s="18" t="s">
        <v>23</v>
      </c>
      <c r="B92" s="15">
        <v>1293219</v>
      </c>
      <c r="C92" s="15">
        <v>14238</v>
      </c>
      <c r="D92" s="19">
        <v>9.5067000338405466E-3</v>
      </c>
    </row>
    <row r="93" spans="1:4" x14ac:dyDescent="0.2">
      <c r="A93" s="18" t="s">
        <v>18</v>
      </c>
      <c r="B93" s="15">
        <v>1526608.5</v>
      </c>
      <c r="C93" s="15">
        <v>16687.5</v>
      </c>
      <c r="D93" s="19">
        <v>1.1222390854612612E-2</v>
      </c>
    </row>
    <row r="94" spans="1:4" x14ac:dyDescent="0.2">
      <c r="A94" s="18" t="s">
        <v>19</v>
      </c>
      <c r="B94" s="15">
        <v>1565632.5</v>
      </c>
      <c r="C94" s="15">
        <v>16476</v>
      </c>
      <c r="D94" s="19">
        <v>1.1509263737025098E-2</v>
      </c>
    </row>
    <row r="95" spans="1:4" x14ac:dyDescent="0.2">
      <c r="A95" s="18" t="s">
        <v>9</v>
      </c>
      <c r="B95" s="15">
        <v>636345</v>
      </c>
      <c r="C95" s="15">
        <v>7816.5</v>
      </c>
      <c r="D95" s="19">
        <v>4.6778937156307342E-3</v>
      </c>
    </row>
    <row r="96" spans="1:4" x14ac:dyDescent="0.2">
      <c r="A96" s="18" t="s">
        <v>15</v>
      </c>
      <c r="B96" s="15">
        <v>37257840.18135</v>
      </c>
      <c r="C96" s="15">
        <v>349699.5</v>
      </c>
      <c r="D96" s="19">
        <v>0.27388950403053602</v>
      </c>
    </row>
    <row r="97" spans="1:4" x14ac:dyDescent="0.2">
      <c r="A97" s="18" t="s">
        <v>14</v>
      </c>
      <c r="B97" s="15">
        <v>27770092.5</v>
      </c>
      <c r="C97" s="15">
        <v>272926.5</v>
      </c>
      <c r="D97" s="19">
        <v>0.20414325749119455</v>
      </c>
    </row>
    <row r="98" spans="1:4" x14ac:dyDescent="0.2">
      <c r="A98" s="18" t="s">
        <v>12</v>
      </c>
      <c r="B98" s="15">
        <v>1007742</v>
      </c>
      <c r="C98" s="15">
        <v>11416.5</v>
      </c>
      <c r="D98" s="19">
        <v>7.4081040454111336E-3</v>
      </c>
    </row>
    <row r="99" spans="1:4" x14ac:dyDescent="0.2">
      <c r="A99" s="18" t="s">
        <v>25</v>
      </c>
      <c r="B99" s="15">
        <v>389013</v>
      </c>
      <c r="C99" s="15">
        <v>5166</v>
      </c>
      <c r="D99" s="19">
        <v>2.8597089126160477E-3</v>
      </c>
    </row>
    <row r="100" spans="1:4" x14ac:dyDescent="0.2">
      <c r="A100" s="18" t="s">
        <v>24</v>
      </c>
      <c r="B100" s="15">
        <v>802447.5</v>
      </c>
      <c r="C100" s="15">
        <v>9474</v>
      </c>
      <c r="D100" s="19">
        <v>5.8989449392602969E-3</v>
      </c>
    </row>
    <row r="101" spans="1:4" x14ac:dyDescent="0.2">
      <c r="A101" s="18" t="s">
        <v>26</v>
      </c>
      <c r="B101" s="15">
        <v>410892</v>
      </c>
      <c r="C101" s="15">
        <v>4408.5</v>
      </c>
      <c r="D101" s="19">
        <v>3.0205456232121628E-3</v>
      </c>
    </row>
    <row r="102" spans="1:4" x14ac:dyDescent="0.2">
      <c r="A102" s="17" t="s">
        <v>28</v>
      </c>
      <c r="B102" s="15">
        <v>4962359217.0623999</v>
      </c>
      <c r="C102" s="15">
        <v>50178780</v>
      </c>
      <c r="D10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058-E148-8E4B-A320-CB8AF2DC0082}">
  <dimension ref="A3:B10"/>
  <sheetViews>
    <sheetView tabSelected="1" workbookViewId="0">
      <selection activeCell="I6" sqref="I6"/>
    </sheetView>
  </sheetViews>
  <sheetFormatPr baseColWidth="10" defaultRowHeight="15" x14ac:dyDescent="0.2"/>
  <cols>
    <col min="1" max="1" width="16" bestFit="1" customWidth="1"/>
    <col min="2" max="3" width="33.33203125" bestFit="1" customWidth="1"/>
  </cols>
  <sheetData>
    <row r="3" spans="1:2" x14ac:dyDescent="0.2">
      <c r="A3" s="16" t="s">
        <v>27</v>
      </c>
      <c r="B3" t="s">
        <v>32</v>
      </c>
    </row>
    <row r="4" spans="1:2" x14ac:dyDescent="0.2">
      <c r="A4" s="17">
        <v>18</v>
      </c>
      <c r="B4" s="15">
        <v>15050189.484421248</v>
      </c>
    </row>
    <row r="5" spans="1:2" x14ac:dyDescent="0.2">
      <c r="A5" s="17">
        <v>19</v>
      </c>
      <c r="B5" s="15">
        <v>17810866.503784601</v>
      </c>
    </row>
    <row r="6" spans="1:2" x14ac:dyDescent="0.2">
      <c r="A6" s="17">
        <v>20</v>
      </c>
      <c r="B6" s="15">
        <v>17504431.254499577</v>
      </c>
    </row>
    <row r="7" spans="1:2" x14ac:dyDescent="0.2">
      <c r="A7" s="17">
        <v>21</v>
      </c>
      <c r="B7" s="15">
        <v>18752594.736982953</v>
      </c>
    </row>
    <row r="8" spans="1:2" x14ac:dyDescent="0.2">
      <c r="A8" s="17">
        <v>22</v>
      </c>
      <c r="B8" s="15">
        <v>20458986.916362662</v>
      </c>
    </row>
    <row r="9" spans="1:2" x14ac:dyDescent="0.2">
      <c r="A9" s="17">
        <v>23</v>
      </c>
      <c r="B9" s="15">
        <v>2786041.4356766073</v>
      </c>
    </row>
    <row r="10" spans="1:2" x14ac:dyDescent="0.2">
      <c r="A10" s="17" t="s">
        <v>28</v>
      </c>
      <c r="B10" s="15">
        <v>92363110.331727639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Аделаида Лукьянченко</cp:lastModifiedBy>
  <dcterms:created xsi:type="dcterms:W3CDTF">2021-09-13T10:17:58Z</dcterms:created>
  <dcterms:modified xsi:type="dcterms:W3CDTF">2026-09-04T13:58:39Z</dcterms:modified>
</cp:coreProperties>
</file>